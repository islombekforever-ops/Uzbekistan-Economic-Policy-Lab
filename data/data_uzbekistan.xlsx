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j.axmatov\Desktop\KOF_Nowcasting\code_v3\data\"/>
    </mc:Choice>
  </mc:AlternateContent>
  <xr:revisionPtr revIDLastSave="0" documentId="13_ncr:1_{2227507A-C47A-4334-8D29-A8F89DBD8308}" xr6:coauthVersionLast="47" xr6:coauthVersionMax="47" xr10:uidLastSave="{00000000-0000-0000-0000-000000000000}"/>
  <bookViews>
    <workbookView xWindow="-120" yWindow="-120" windowWidth="29040" windowHeight="15990" xr2:uid="{EF080A77-E745-4A2E-AEA4-6C3334BA19A5}"/>
  </bookViews>
  <sheets>
    <sheet name="Series Information" sheetId="3" r:id="rId1"/>
    <sheet name="Request Quarterly" sheetId="4" r:id="rId2"/>
    <sheet name="Request Monthly" sheetId="2" r:id="rId3"/>
  </sheets>
  <definedNames>
    <definedName name="Macrobond_Object1" localSheetId="2">'Request Monthly'!$A$3:$Q$109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I110" i="2" l="1"/>
  <c r="AI111" i="2"/>
  <c r="AI112" i="2"/>
  <c r="AA110" i="2"/>
  <c r="AA111" i="2"/>
  <c r="AA112" i="2"/>
  <c r="AI18" i="2" l="1"/>
  <c r="AI19" i="2"/>
  <c r="AI20" i="2"/>
  <c r="AI21" i="2"/>
  <c r="AI22" i="2"/>
  <c r="AI23" i="2"/>
  <c r="AI24" i="2"/>
  <c r="AI25" i="2"/>
  <c r="AI26" i="2"/>
  <c r="AI27" i="2"/>
  <c r="AI28" i="2"/>
  <c r="AI29" i="2"/>
  <c r="AI30" i="2"/>
  <c r="AI31" i="2"/>
  <c r="AI32" i="2"/>
  <c r="AI33" i="2"/>
  <c r="AI34" i="2"/>
  <c r="AI35" i="2"/>
  <c r="AI36" i="2"/>
  <c r="AI37" i="2"/>
  <c r="AI38" i="2"/>
  <c r="AI39" i="2"/>
  <c r="AI40" i="2"/>
  <c r="AI41" i="2"/>
  <c r="AI42" i="2"/>
  <c r="AI43" i="2"/>
  <c r="AI44" i="2"/>
  <c r="AI45" i="2"/>
  <c r="AI46" i="2"/>
  <c r="AI47" i="2"/>
  <c r="AI48" i="2"/>
  <c r="AI49" i="2"/>
  <c r="AI50" i="2"/>
  <c r="AI51" i="2"/>
  <c r="AI52" i="2"/>
  <c r="AI53" i="2"/>
  <c r="AI54" i="2"/>
  <c r="AI55" i="2"/>
  <c r="AI56" i="2"/>
  <c r="AI57" i="2"/>
  <c r="AI58" i="2"/>
  <c r="AI59" i="2"/>
  <c r="AI60" i="2"/>
  <c r="AI61" i="2"/>
  <c r="AI62" i="2"/>
  <c r="AI63" i="2"/>
  <c r="AI64" i="2"/>
  <c r="AI65" i="2"/>
  <c r="AI66" i="2"/>
  <c r="AI67" i="2"/>
  <c r="AI68" i="2"/>
  <c r="AI69" i="2"/>
  <c r="AI70" i="2"/>
  <c r="AI71" i="2"/>
  <c r="AI72" i="2"/>
  <c r="AI73" i="2"/>
  <c r="AI74" i="2"/>
  <c r="AI75" i="2"/>
  <c r="AI76" i="2"/>
  <c r="AI77" i="2"/>
  <c r="AI78" i="2"/>
  <c r="AI79" i="2"/>
  <c r="AI80" i="2"/>
  <c r="AI81" i="2"/>
  <c r="AI82" i="2"/>
  <c r="AI83" i="2"/>
  <c r="AI84" i="2"/>
  <c r="AI85" i="2"/>
  <c r="AI86" i="2"/>
  <c r="AI87" i="2"/>
  <c r="AI88" i="2"/>
  <c r="AI89" i="2"/>
  <c r="AI90" i="2"/>
  <c r="AI91" i="2"/>
  <c r="AI92" i="2"/>
  <c r="AI93" i="2"/>
  <c r="AI94" i="2"/>
  <c r="AI95" i="2"/>
  <c r="AI96" i="2"/>
  <c r="AI97" i="2"/>
  <c r="AI98" i="2"/>
  <c r="AI99" i="2"/>
  <c r="AI100" i="2"/>
  <c r="AI101" i="2"/>
  <c r="AI102" i="2"/>
  <c r="AI103" i="2"/>
  <c r="AI104" i="2"/>
  <c r="AI105" i="2"/>
  <c r="AI106" i="2"/>
  <c r="AI107" i="2"/>
  <c r="AI108" i="2"/>
  <c r="AI109" i="2"/>
  <c r="AI17" i="2"/>
  <c r="AA53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5" i="2"/>
  <c r="AA76" i="2"/>
  <c r="AA77" i="2"/>
  <c r="AA78" i="2"/>
  <c r="AA79" i="2"/>
  <c r="AA80" i="2"/>
  <c r="AA81" i="2"/>
  <c r="AA82" i="2"/>
  <c r="AA83" i="2"/>
  <c r="AA84" i="2"/>
  <c r="AA85" i="2"/>
  <c r="AA86" i="2"/>
  <c r="AA87" i="2"/>
  <c r="AA88" i="2"/>
  <c r="AA89" i="2"/>
  <c r="AA90" i="2"/>
  <c r="AA91" i="2"/>
  <c r="AA92" i="2"/>
  <c r="AA93" i="2"/>
  <c r="AA94" i="2"/>
  <c r="AA95" i="2"/>
  <c r="AA96" i="2"/>
  <c r="AA97" i="2"/>
  <c r="AA98" i="2"/>
  <c r="AA99" i="2"/>
  <c r="AA100" i="2"/>
  <c r="AA101" i="2"/>
  <c r="AA102" i="2"/>
  <c r="AA103" i="2"/>
  <c r="AA104" i="2"/>
  <c r="AA105" i="2"/>
  <c r="AA106" i="2"/>
  <c r="AA107" i="2"/>
  <c r="AA108" i="2"/>
  <c r="AA109" i="2"/>
</calcChain>
</file>

<file path=xl/sharedStrings.xml><?xml version="1.0" encoding="utf-8"?>
<sst xmlns="http://schemas.openxmlformats.org/spreadsheetml/2006/main" count="293" uniqueCount="152">
  <si>
    <t>FX Spot Rates, Central Bank of The Republic of Uzbekistan, UZS per USD</t>
  </si>
  <si>
    <t>Foreign Trade, Export, Goods &amp; Services, Total, Aggregate, USD</t>
  </si>
  <si>
    <t>Foreign Trade, Import, Goods &amp; Services, Total, Aggregate, USD</t>
  </si>
  <si>
    <t>Monetary Statistics, Monetary Aggregates, M2, Broad Money (M2), Beginning of Period, UZS</t>
  </si>
  <si>
    <t>Producer Price Index, Total, PP=100, Index</t>
  </si>
  <si>
    <t>Industrial Production, Total, Total Industrial Output, UZS</t>
  </si>
  <si>
    <t>Monetary Statistics, Monetary Aggregates, M0, Currency in Circulation (M0), Beginning of Period, UZS</t>
  </si>
  <si>
    <t>Financial Soundness Indicators, Banking Sector, Nonperforming Loans to Total Gross Loans</t>
  </si>
  <si>
    <t>Consumer Price Index, Services, Total, PP=100, Index</t>
  </si>
  <si>
    <t>Consumer Price Index, Goods, Total, PP=100, Index</t>
  </si>
  <si>
    <t>Enterprises, Number of Enterprises, Newly Established Enterprises, Aggregate</t>
  </si>
  <si>
    <t>Industrial Production, Total, Total Industrial Output, CPPY=100, Index</t>
  </si>
  <si>
    <t>Foreign Trade, By Country, Import, World, Aggregate, USD</t>
  </si>
  <si>
    <t>Foreign Trade, By Country, Export, World, Aggregate, USD</t>
  </si>
  <si>
    <t>Source</t>
  </si>
  <si>
    <t>Unit</t>
  </si>
  <si>
    <t>uzsusdcbfix</t>
  </si>
  <si>
    <t>Central Bank of the Republic of Uzbekistan</t>
  </si>
  <si>
    <t>Currency Unit/USD</t>
  </si>
  <si>
    <t>Percent</t>
  </si>
  <si>
    <t>uztrade0001</t>
  </si>
  <si>
    <t>Statistics Agency under the President of the Republic of Uzbekistan</t>
  </si>
  <si>
    <t>Currency Units</t>
  </si>
  <si>
    <t>uztrade0017</t>
  </si>
  <si>
    <t>uzmost0001</t>
  </si>
  <si>
    <t>uzpric0092</t>
  </si>
  <si>
    <t>Index</t>
  </si>
  <si>
    <t>uzprod0001</t>
  </si>
  <si>
    <t>uzmost0004</t>
  </si>
  <si>
    <t>uzbank0163</t>
  </si>
  <si>
    <t>uzpric0057</t>
  </si>
  <si>
    <t>uzpric0035</t>
  </si>
  <si>
    <t>uzbust0003</t>
  </si>
  <si>
    <t>Number</t>
  </si>
  <si>
    <t>uzprod0030</t>
  </si>
  <si>
    <t>uztrad0440</t>
  </si>
  <si>
    <t>uztrad0220</t>
  </si>
  <si>
    <t>Category</t>
  </si>
  <si>
    <t>Frequency</t>
  </si>
  <si>
    <t>Interest &amp; Exchange Rates</t>
  </si>
  <si>
    <t>Monthly</t>
  </si>
  <si>
    <t>Weekly</t>
  </si>
  <si>
    <t>Trade</t>
  </si>
  <si>
    <t>Money, Banking &amp; Credit</t>
  </si>
  <si>
    <t>Prices</t>
  </si>
  <si>
    <t>Production</t>
  </si>
  <si>
    <t>Business Statistics</t>
  </si>
  <si>
    <t>Series description</t>
  </si>
  <si>
    <t>Code key</t>
  </si>
  <si>
    <t>Seasonal adjustment</t>
  </si>
  <si>
    <t>Macrobond key</t>
  </si>
  <si>
    <t>Uzbekistan, FX Spot Rates, Central Bank of The Republic of Uzbekistan, UZS per USD</t>
  </si>
  <si>
    <t>Uzbekistan, Foreign Trade, Export, Goods &amp; Services, Total, Aggregate, USD</t>
  </si>
  <si>
    <t>Uzbekistan, Foreign Trade, Import, Goods &amp; Services, Total, Aggregate, USD</t>
  </si>
  <si>
    <t>Uzbekistan, Monetary Statistics, Monetary Aggregates, M2, Broad Money (M2), Beginning of Period, UZS</t>
  </si>
  <si>
    <t>Uzbekistan, Producer Price Index, Total, PP=100, Index</t>
  </si>
  <si>
    <t>Uzbekistan, Industrial Production, Total, Total Industrial Output, UZS</t>
  </si>
  <si>
    <t>Uzbekistan, Monetary Statistics, Monetary Aggregates, M0, Currency in Circulation (M0), Beginning of Period, UZS</t>
  </si>
  <si>
    <t>Uzbekistan, Financial Soundness Indicators, Banking Sector, Nonperforming Loans to Total Gross Loans</t>
  </si>
  <si>
    <t>Uzbekistan, Consumer Price Index, Services, Total, PP=100, Index</t>
  </si>
  <si>
    <t>Uzbekistan, Consumer Price Index, Goods, Total, PP=100, Index</t>
  </si>
  <si>
    <t>Uzbekistan, Enterprises, Number of Enterprises, Newly Established Enterprises, Aggregate</t>
  </si>
  <si>
    <t>Uzbekistan, Industrial Production, Total, Total Industrial Output, CPPY=100, Index</t>
  </si>
  <si>
    <t>Uzbekistan, Foreign Trade, By Country, Import, World, Aggregate, USD</t>
  </si>
  <si>
    <t>Uzbekistan, Foreign Trade, By Country, Export, World, Aggregate, USD</t>
  </si>
  <si>
    <t>Kazakhstan, Leading Indicators, Bureau of National Statistics of the Agency for Strategic Planning &amp; Reforms, Short-Term Economic Indicator, Change YTD PY=100, Index</t>
  </si>
  <si>
    <t>kznaac0276</t>
  </si>
  <si>
    <t>Kazakh Agency of Statistics</t>
  </si>
  <si>
    <t>Foreign Variables</t>
  </si>
  <si>
    <t>ip_uzs</t>
  </si>
  <si>
    <t>ip_cppy</t>
  </si>
  <si>
    <t>imp</t>
  </si>
  <si>
    <t>exp</t>
  </si>
  <si>
    <t>imp_agg</t>
  </si>
  <si>
    <t>exp_agg</t>
  </si>
  <si>
    <t>ent_new</t>
  </si>
  <si>
    <t>cpi_services</t>
  </si>
  <si>
    <t>cpi_goods</t>
  </si>
  <si>
    <t>ppi</t>
  </si>
  <si>
    <t>m0</t>
  </si>
  <si>
    <t>m2</t>
  </si>
  <si>
    <t>financial_sound</t>
  </si>
  <si>
    <t>uzs_usd</t>
  </si>
  <si>
    <t>kazakh_leadind</t>
  </si>
  <si>
    <t>By code</t>
  </si>
  <si>
    <t>uzbank0027</t>
  </si>
  <si>
    <t>Uzbekistan, Deposits &amp; Loans, All Institutions, Interest Rates on Deposits, By Currency, In Local Currency, Total, Over 1 Year, Weighted Average Rate</t>
  </si>
  <si>
    <t>rate_1y</t>
  </si>
  <si>
    <t>Target variable</t>
  </si>
  <si>
    <t>Quarterly</t>
  </si>
  <si>
    <t xml:space="preserve">Currency Units </t>
  </si>
  <si>
    <t>gdp</t>
  </si>
  <si>
    <t>Number of banking transactions</t>
  </si>
  <si>
    <t>Number of real estate sales</t>
  </si>
  <si>
    <t>Number of car sales</t>
  </si>
  <si>
    <t>Business survey</t>
  </si>
  <si>
    <t>uz_ida</t>
  </si>
  <si>
    <t>CERR</t>
  </si>
  <si>
    <t>bank_trans</t>
  </si>
  <si>
    <t>uz_trans</t>
  </si>
  <si>
    <t>Real estate</t>
  </si>
  <si>
    <t>real_est</t>
  </si>
  <si>
    <t>uz_realest</t>
  </si>
  <si>
    <t>Vehicle sales</t>
  </si>
  <si>
    <t>cars</t>
  </si>
  <si>
    <t>uz_cars</t>
  </si>
  <si>
    <t>Business activity index_YOY</t>
  </si>
  <si>
    <t>Business activity index_MOM</t>
  </si>
  <si>
    <t>Business activity index year on year</t>
  </si>
  <si>
    <t>IDA_yoy</t>
  </si>
  <si>
    <t>Business activity index month on month</t>
  </si>
  <si>
    <t>IDA_mom</t>
  </si>
  <si>
    <t>GDP real in Bil. 2021 UZS, volume terms</t>
  </si>
  <si>
    <t>Uzbekistan, Gross Domestic Product, Total, Constant Prices, volume 2021, UZS</t>
  </si>
  <si>
    <t>industry per capita growth</t>
  </si>
  <si>
    <t>ind_percap_grwth</t>
  </si>
  <si>
    <t>construction (2021p)</t>
  </si>
  <si>
    <t>IND_2021p</t>
  </si>
  <si>
    <t>IND_YOY</t>
  </si>
  <si>
    <t>construction</t>
  </si>
  <si>
    <t>construction volume adjusted by PPI at 2021 prices</t>
  </si>
  <si>
    <t>Industry volume adjusted by PPI at 2021 prices</t>
  </si>
  <si>
    <t>Industry year on year growth</t>
  </si>
  <si>
    <t>construction growth rate</t>
  </si>
  <si>
    <t>const_grwth</t>
  </si>
  <si>
    <t>construction grwth rate</t>
  </si>
  <si>
    <t>Growth rate of industrial production per capita</t>
  </si>
  <si>
    <t>services_grwth</t>
  </si>
  <si>
    <t>Services</t>
  </si>
  <si>
    <t>services growth rate</t>
  </si>
  <si>
    <t>wholesale trade growth rate</t>
  </si>
  <si>
    <t>wholesale_trade_grwth</t>
  </si>
  <si>
    <t>Retail_trade_grwth</t>
  </si>
  <si>
    <t>reatail trade growth rate</t>
  </si>
  <si>
    <t>retail_trade_grwth</t>
  </si>
  <si>
    <t>business clmate index</t>
  </si>
  <si>
    <t>bus_clim</t>
  </si>
  <si>
    <t>Business climate</t>
  </si>
  <si>
    <t>Business climate expectation</t>
  </si>
  <si>
    <t>business clmate expectation index</t>
  </si>
  <si>
    <t>bus_clim_exp</t>
  </si>
  <si>
    <t>manf=2021</t>
  </si>
  <si>
    <t>manf_YOY</t>
  </si>
  <si>
    <t>Manufacturing at 2021 prices</t>
  </si>
  <si>
    <t>Manufacturing year on year growth rate</t>
  </si>
  <si>
    <t>stock_deals</t>
  </si>
  <si>
    <t>Stock market</t>
  </si>
  <si>
    <t>number of deals in stock market</t>
  </si>
  <si>
    <t>Transactions</t>
  </si>
  <si>
    <t>Retail_trade=2021</t>
  </si>
  <si>
    <t>retail trade adjusted by CPI at 2021 proces</t>
  </si>
  <si>
    <t>retail_trade_2021p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</si>
</sst>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_-* #,##0.0_-;\-* #,##0.0_-;_-* &quot;-&quot;??_-;_-@_-"/>
    <numFmt numFmtId="165" formatCode="_-* #,##0.00_р_._-;\-* #,##0.00_р_._-;_-* &quot;-&quot;??_р_._-;_-@_-"/>
    <numFmt numFmtId="166" formatCode="0.0"/>
    <numFmt numFmtId="167" formatCode="_-* #,##0_-;\-* #,##0_-;_-* &quot;-&quot;??_-;_-@_-"/>
    <numFmt numFmtId="168" formatCode="_-* #,##0.00000_-;\-* #,##0.00000_-;_-* &quot;-&quot;??_-;_-@_-"/>
    <numFmt numFmtId="173" formatCode="_-* #,##0.00\ _₽_-;\-* #,##0.00\ _₽_-;_-* &quot;-&quot;??\ _₽_-;_-@_-"/>
    <numFmt numFmtId="174" formatCode="0.0000"/>
    <numFmt numFmtId="176" formatCode="0.00000"/>
    <numFmt numFmtId="179" formatCode="_-* #,##0.0000_-;\-* #,##0.00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C00000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color indexed="8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8">
    <xf numFmtId="0" fontId="0" fillId="0" borderId="0"/>
    <xf numFmtId="43" fontId="4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6" fillId="0" borderId="0"/>
  </cellStyleXfs>
  <cellXfs count="27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Font="1"/>
    <xf numFmtId="0" fontId="3" fillId="0" borderId="0" xfId="0" applyFont="1"/>
    <xf numFmtId="164" fontId="0" fillId="0" borderId="0" xfId="1" applyNumberFormat="1" applyFont="1"/>
    <xf numFmtId="166" fontId="0" fillId="0" borderId="0" xfId="0" applyNumberFormat="1"/>
    <xf numFmtId="0" fontId="0" fillId="0" borderId="0" xfId="0" applyAlignment="1">
      <alignment vertical="center" wrapText="1"/>
    </xf>
    <xf numFmtId="166" fontId="0" fillId="0" borderId="0" xfId="1" applyNumberFormat="1" applyFont="1"/>
    <xf numFmtId="167" fontId="0" fillId="0" borderId="0" xfId="1" applyNumberFormat="1" applyFont="1"/>
    <xf numFmtId="164" fontId="0" fillId="0" borderId="0" xfId="1" applyNumberFormat="1" applyFont="1" applyFill="1"/>
    <xf numFmtId="43" fontId="0" fillId="0" borderId="0" xfId="1" applyFont="1"/>
    <xf numFmtId="0" fontId="4" fillId="0" borderId="0" xfId="3"/>
    <xf numFmtId="2" fontId="0" fillId="0" borderId="0" xfId="0" applyNumberFormat="1"/>
    <xf numFmtId="168" fontId="0" fillId="0" borderId="0" xfId="1" applyNumberFormat="1" applyFont="1" applyFill="1"/>
    <xf numFmtId="0" fontId="0" fillId="0" borderId="0" xfId="0"/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Fill="1"/>
    <xf numFmtId="0" fontId="5" fillId="0" borderId="0" xfId="0" applyFont="1"/>
    <xf numFmtId="173" fontId="0" fillId="0" borderId="0" xfId="0" applyNumberFormat="1"/>
    <xf numFmtId="174" fontId="0" fillId="0" borderId="0" xfId="0" applyNumberFormat="1"/>
    <xf numFmtId="176" fontId="0" fillId="0" borderId="0" xfId="0" applyNumberFormat="1"/>
    <xf numFmtId="179" fontId="0" fillId="0" borderId="0" xfId="1" applyNumberFormat="1" applyFont="1"/>
    <xf numFmtId="2" fontId="7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/>
    </xf>
    <xf numFmtId="0" fontId="0" fillId="0" borderId="0" xfId="0" applyAlignment="1">
      <alignment horizontal="center"/>
    </xf>
  </cellXfs>
  <cellStyles count="8">
    <cellStyle name="Comma" xfId="2" xr:uid="{96E8ABA7-8706-4735-BA20-B86C5C6E541B}"/>
    <cellStyle name="Normal 21" xfId="4" xr:uid="{279C838B-01FB-46B0-892D-5C744FC7011A}"/>
    <cellStyle name="Обычный" xfId="0" builtinId="0"/>
    <cellStyle name="Обычный 18 4 2 2" xfId="5" xr:uid="{77F534C6-5979-4A0A-A4D4-C5719E9E8A54}"/>
    <cellStyle name="Обычный 2 2" xfId="7" xr:uid="{97AE1075-080C-4DD0-B7DD-9246E652F1A0}"/>
    <cellStyle name="Обычный 75" xfId="3" xr:uid="{641892CF-8A20-4AE1-9EB5-C59F253CA08F}"/>
    <cellStyle name="Финансовый" xfId="1" builtinId="3"/>
    <cellStyle name="Финансовый 2" xfId="6" xr:uid="{99534742-DE08-4EA3-AE36-CEBBB6E4EB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1419225</xdr:colOff>
          <xdr:row>2</xdr:row>
          <xdr:rowOff>152400</xdr:rowOff>
        </xdr:to>
        <xdr:sp macro="" textlink="">
          <xdr:nvSpPr>
            <xdr:cNvPr id="2049" name="Object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CA213-E807-4F22-AA5F-8B1C2B385181}">
  <dimension ref="A1:H37"/>
  <sheetViews>
    <sheetView tabSelected="1" workbookViewId="0">
      <selection activeCell="B30" sqref="B30"/>
    </sheetView>
  </sheetViews>
  <sheetFormatPr defaultColWidth="11.140625" defaultRowHeight="15" x14ac:dyDescent="0.25"/>
  <cols>
    <col min="1" max="1" width="21.85546875" bestFit="1" customWidth="1"/>
    <col min="2" max="2" width="84.140625" bestFit="1" customWidth="1"/>
    <col min="3" max="3" width="14.28515625" bestFit="1" customWidth="1"/>
    <col min="4" max="4" width="13.42578125" bestFit="1" customWidth="1"/>
    <col min="5" max="5" width="18.5703125" bestFit="1" customWidth="1"/>
  </cols>
  <sheetData>
    <row r="1" spans="1:8" x14ac:dyDescent="0.25">
      <c r="A1" s="2" t="s">
        <v>37</v>
      </c>
      <c r="B1" s="2" t="s">
        <v>47</v>
      </c>
      <c r="C1" s="2" t="s">
        <v>48</v>
      </c>
      <c r="D1" s="2" t="s">
        <v>50</v>
      </c>
      <c r="E1" s="2" t="s">
        <v>49</v>
      </c>
      <c r="F1" s="2" t="s">
        <v>38</v>
      </c>
      <c r="G1" s="2" t="s">
        <v>15</v>
      </c>
      <c r="H1" s="2" t="s">
        <v>14</v>
      </c>
    </row>
    <row r="2" spans="1:8" x14ac:dyDescent="0.25">
      <c r="A2" s="19" t="s">
        <v>88</v>
      </c>
      <c r="B2" s="3" t="s">
        <v>113</v>
      </c>
      <c r="C2" s="4" t="s">
        <v>91</v>
      </c>
      <c r="D2" s="3"/>
      <c r="E2" s="16" t="s">
        <v>84</v>
      </c>
      <c r="F2" s="3" t="s">
        <v>89</v>
      </c>
      <c r="G2" s="3" t="s">
        <v>90</v>
      </c>
      <c r="H2" s="2"/>
    </row>
    <row r="3" spans="1:8" x14ac:dyDescent="0.25">
      <c r="A3" t="s">
        <v>45</v>
      </c>
      <c r="B3" t="s">
        <v>5</v>
      </c>
      <c r="C3" t="s">
        <v>69</v>
      </c>
      <c r="D3" t="s">
        <v>27</v>
      </c>
      <c r="E3" t="s">
        <v>84</v>
      </c>
      <c r="F3" t="s">
        <v>40</v>
      </c>
      <c r="G3" t="s">
        <v>22</v>
      </c>
      <c r="H3" t="s">
        <v>21</v>
      </c>
    </row>
    <row r="4" spans="1:8" x14ac:dyDescent="0.25">
      <c r="A4" t="s">
        <v>45</v>
      </c>
      <c r="B4" t="s">
        <v>11</v>
      </c>
      <c r="C4" t="s">
        <v>70</v>
      </c>
      <c r="D4" t="s">
        <v>34</v>
      </c>
      <c r="F4" t="s">
        <v>40</v>
      </c>
      <c r="G4" t="s">
        <v>26</v>
      </c>
      <c r="H4" t="s">
        <v>21</v>
      </c>
    </row>
    <row r="5" spans="1:8" x14ac:dyDescent="0.25">
      <c r="A5" t="s">
        <v>42</v>
      </c>
      <c r="B5" t="s">
        <v>12</v>
      </c>
      <c r="C5" t="s">
        <v>71</v>
      </c>
      <c r="D5" t="s">
        <v>35</v>
      </c>
      <c r="E5" t="s">
        <v>84</v>
      </c>
      <c r="F5" t="s">
        <v>40</v>
      </c>
      <c r="G5" t="s">
        <v>22</v>
      </c>
      <c r="H5" t="s">
        <v>21</v>
      </c>
    </row>
    <row r="6" spans="1:8" x14ac:dyDescent="0.25">
      <c r="A6" t="s">
        <v>42</v>
      </c>
      <c r="B6" t="s">
        <v>13</v>
      </c>
      <c r="C6" t="s">
        <v>72</v>
      </c>
      <c r="D6" t="s">
        <v>36</v>
      </c>
      <c r="E6" t="s">
        <v>84</v>
      </c>
      <c r="F6" t="s">
        <v>40</v>
      </c>
      <c r="G6" t="s">
        <v>22</v>
      </c>
      <c r="H6" t="s">
        <v>21</v>
      </c>
    </row>
    <row r="7" spans="1:8" x14ac:dyDescent="0.25">
      <c r="A7" t="s">
        <v>42</v>
      </c>
      <c r="B7" t="s">
        <v>1</v>
      </c>
      <c r="C7" t="s">
        <v>73</v>
      </c>
      <c r="D7" t="s">
        <v>20</v>
      </c>
      <c r="E7" t="s">
        <v>84</v>
      </c>
      <c r="F7" t="s">
        <v>40</v>
      </c>
      <c r="G7" t="s">
        <v>22</v>
      </c>
      <c r="H7" t="s">
        <v>21</v>
      </c>
    </row>
    <row r="8" spans="1:8" x14ac:dyDescent="0.25">
      <c r="A8" t="s">
        <v>42</v>
      </c>
      <c r="B8" t="s">
        <v>2</v>
      </c>
      <c r="C8" t="s">
        <v>74</v>
      </c>
      <c r="D8" t="s">
        <v>23</v>
      </c>
      <c r="E8" t="s">
        <v>84</v>
      </c>
      <c r="F8" t="s">
        <v>40</v>
      </c>
      <c r="G8" t="s">
        <v>22</v>
      </c>
      <c r="H8" t="s">
        <v>21</v>
      </c>
    </row>
    <row r="9" spans="1:8" x14ac:dyDescent="0.25">
      <c r="A9" t="s">
        <v>46</v>
      </c>
      <c r="B9" t="s">
        <v>10</v>
      </c>
      <c r="C9" t="s">
        <v>75</v>
      </c>
      <c r="D9" t="s">
        <v>32</v>
      </c>
      <c r="E9" t="s">
        <v>84</v>
      </c>
      <c r="F9" t="s">
        <v>40</v>
      </c>
      <c r="G9" t="s">
        <v>33</v>
      </c>
      <c r="H9" t="s">
        <v>21</v>
      </c>
    </row>
    <row r="10" spans="1:8" x14ac:dyDescent="0.25">
      <c r="A10" t="s">
        <v>44</v>
      </c>
      <c r="B10" t="s">
        <v>8</v>
      </c>
      <c r="C10" t="s">
        <v>76</v>
      </c>
      <c r="D10" t="s">
        <v>30</v>
      </c>
      <c r="F10" t="s">
        <v>40</v>
      </c>
      <c r="G10" t="s">
        <v>26</v>
      </c>
      <c r="H10" t="s">
        <v>21</v>
      </c>
    </row>
    <row r="11" spans="1:8" x14ac:dyDescent="0.25">
      <c r="A11" t="s">
        <v>44</v>
      </c>
      <c r="B11" t="s">
        <v>9</v>
      </c>
      <c r="C11" t="s">
        <v>77</v>
      </c>
      <c r="D11" t="s">
        <v>31</v>
      </c>
      <c r="F11" t="s">
        <v>40</v>
      </c>
      <c r="G11" t="s">
        <v>26</v>
      </c>
      <c r="H11" t="s">
        <v>21</v>
      </c>
    </row>
    <row r="12" spans="1:8" x14ac:dyDescent="0.25">
      <c r="A12" t="s">
        <v>44</v>
      </c>
      <c r="B12" t="s">
        <v>4</v>
      </c>
      <c r="C12" t="s">
        <v>78</v>
      </c>
      <c r="D12" t="s">
        <v>25</v>
      </c>
      <c r="F12" t="s">
        <v>40</v>
      </c>
      <c r="G12" t="s">
        <v>26</v>
      </c>
      <c r="H12" t="s">
        <v>21</v>
      </c>
    </row>
    <row r="13" spans="1:8" x14ac:dyDescent="0.25">
      <c r="A13" t="s">
        <v>43</v>
      </c>
      <c r="B13" t="s">
        <v>6</v>
      </c>
      <c r="C13" t="s">
        <v>79</v>
      </c>
      <c r="D13" t="s">
        <v>28</v>
      </c>
      <c r="F13" t="s">
        <v>40</v>
      </c>
      <c r="G13" t="s">
        <v>22</v>
      </c>
      <c r="H13" t="s">
        <v>17</v>
      </c>
    </row>
    <row r="14" spans="1:8" x14ac:dyDescent="0.25">
      <c r="A14" t="s">
        <v>43</v>
      </c>
      <c r="B14" t="s">
        <v>3</v>
      </c>
      <c r="C14" t="s">
        <v>80</v>
      </c>
      <c r="D14" t="s">
        <v>24</v>
      </c>
      <c r="F14" t="s">
        <v>40</v>
      </c>
      <c r="G14" t="s">
        <v>22</v>
      </c>
      <c r="H14" t="s">
        <v>17</v>
      </c>
    </row>
    <row r="15" spans="1:8" x14ac:dyDescent="0.25">
      <c r="A15" t="s">
        <v>43</v>
      </c>
      <c r="B15" t="s">
        <v>7</v>
      </c>
      <c r="C15" t="s">
        <v>81</v>
      </c>
      <c r="D15" t="s">
        <v>29</v>
      </c>
      <c r="F15" t="s">
        <v>40</v>
      </c>
      <c r="G15" t="s">
        <v>19</v>
      </c>
      <c r="H15" t="s">
        <v>17</v>
      </c>
    </row>
    <row r="16" spans="1:8" x14ac:dyDescent="0.25">
      <c r="A16" t="s">
        <v>39</v>
      </c>
      <c r="B16" t="s">
        <v>86</v>
      </c>
      <c r="C16" t="s">
        <v>87</v>
      </c>
      <c r="D16" t="s">
        <v>85</v>
      </c>
      <c r="F16" t="s">
        <v>40</v>
      </c>
      <c r="G16" t="s">
        <v>19</v>
      </c>
      <c r="H16" t="s">
        <v>17</v>
      </c>
    </row>
    <row r="17" spans="1:8" x14ac:dyDescent="0.25">
      <c r="A17" t="s">
        <v>39</v>
      </c>
      <c r="B17" t="s">
        <v>0</v>
      </c>
      <c r="C17" t="s">
        <v>82</v>
      </c>
      <c r="D17" t="s">
        <v>16</v>
      </c>
      <c r="F17" t="s">
        <v>41</v>
      </c>
      <c r="G17" t="s">
        <v>18</v>
      </c>
      <c r="H17" t="s">
        <v>17</v>
      </c>
    </row>
    <row r="18" spans="1:8" x14ac:dyDescent="0.25">
      <c r="A18" t="s">
        <v>68</v>
      </c>
      <c r="B18" t="s">
        <v>65</v>
      </c>
      <c r="C18" t="s">
        <v>83</v>
      </c>
      <c r="D18" t="s">
        <v>66</v>
      </c>
      <c r="F18" t="s">
        <v>40</v>
      </c>
      <c r="G18" t="s">
        <v>26</v>
      </c>
      <c r="H18" t="s">
        <v>67</v>
      </c>
    </row>
    <row r="19" spans="1:8" x14ac:dyDescent="0.25">
      <c r="A19" t="s">
        <v>95</v>
      </c>
      <c r="B19" t="s">
        <v>108</v>
      </c>
      <c r="C19" t="s">
        <v>109</v>
      </c>
      <c r="D19" t="s">
        <v>96</v>
      </c>
      <c r="F19" t="s">
        <v>40</v>
      </c>
      <c r="G19" t="s">
        <v>26</v>
      </c>
      <c r="H19" t="s">
        <v>97</v>
      </c>
    </row>
    <row r="20" spans="1:8" x14ac:dyDescent="0.25">
      <c r="A20" t="s">
        <v>95</v>
      </c>
      <c r="B20" t="s">
        <v>110</v>
      </c>
      <c r="C20" t="s">
        <v>111</v>
      </c>
      <c r="D20" t="s">
        <v>96</v>
      </c>
      <c r="F20" t="s">
        <v>40</v>
      </c>
      <c r="G20" t="s">
        <v>26</v>
      </c>
      <c r="H20" t="s">
        <v>97</v>
      </c>
    </row>
    <row r="21" spans="1:8" x14ac:dyDescent="0.25">
      <c r="A21" t="s">
        <v>148</v>
      </c>
      <c r="B21" t="s">
        <v>92</v>
      </c>
      <c r="C21" t="s">
        <v>98</v>
      </c>
      <c r="D21" t="s">
        <v>99</v>
      </c>
      <c r="E21" t="s">
        <v>84</v>
      </c>
      <c r="F21" t="s">
        <v>40</v>
      </c>
      <c r="G21" t="s">
        <v>33</v>
      </c>
      <c r="H21" t="s">
        <v>17</v>
      </c>
    </row>
    <row r="22" spans="1:8" x14ac:dyDescent="0.25">
      <c r="A22" t="s">
        <v>100</v>
      </c>
      <c r="B22" t="s">
        <v>93</v>
      </c>
      <c r="C22" t="s">
        <v>101</v>
      </c>
      <c r="D22" t="s">
        <v>102</v>
      </c>
      <c r="F22" t="s">
        <v>40</v>
      </c>
      <c r="G22" t="s">
        <v>33</v>
      </c>
      <c r="H22" t="s">
        <v>97</v>
      </c>
    </row>
    <row r="23" spans="1:8" x14ac:dyDescent="0.25">
      <c r="A23" t="s">
        <v>103</v>
      </c>
      <c r="B23" s="7" t="s">
        <v>94</v>
      </c>
      <c r="C23" t="s">
        <v>104</v>
      </c>
      <c r="D23" t="s">
        <v>105</v>
      </c>
      <c r="F23" t="s">
        <v>40</v>
      </c>
      <c r="G23" t="s">
        <v>33</v>
      </c>
      <c r="H23" t="s">
        <v>97</v>
      </c>
    </row>
    <row r="24" spans="1:8" x14ac:dyDescent="0.25">
      <c r="A24" t="s">
        <v>45</v>
      </c>
      <c r="B24" t="s">
        <v>126</v>
      </c>
      <c r="C24" t="s">
        <v>115</v>
      </c>
      <c r="D24" t="s">
        <v>115</v>
      </c>
      <c r="F24" t="s">
        <v>40</v>
      </c>
      <c r="G24" t="s">
        <v>26</v>
      </c>
      <c r="H24" t="s">
        <v>21</v>
      </c>
    </row>
    <row r="25" spans="1:8" x14ac:dyDescent="0.25">
      <c r="A25" t="s">
        <v>119</v>
      </c>
      <c r="B25" t="s">
        <v>120</v>
      </c>
      <c r="C25" t="s">
        <v>116</v>
      </c>
      <c r="E25" t="s">
        <v>84</v>
      </c>
      <c r="F25" t="s">
        <v>40</v>
      </c>
      <c r="G25" t="s">
        <v>22</v>
      </c>
      <c r="H25" t="s">
        <v>21</v>
      </c>
    </row>
    <row r="26" spans="1:8" x14ac:dyDescent="0.25">
      <c r="A26" t="s">
        <v>119</v>
      </c>
      <c r="B26" t="s">
        <v>123</v>
      </c>
      <c r="C26" t="s">
        <v>124</v>
      </c>
      <c r="F26" t="s">
        <v>40</v>
      </c>
      <c r="G26" t="s">
        <v>26</v>
      </c>
      <c r="H26" t="s">
        <v>21</v>
      </c>
    </row>
    <row r="27" spans="1:8" x14ac:dyDescent="0.25">
      <c r="A27" t="s">
        <v>45</v>
      </c>
      <c r="B27" t="s">
        <v>121</v>
      </c>
      <c r="C27" t="s">
        <v>117</v>
      </c>
      <c r="E27" t="s">
        <v>84</v>
      </c>
      <c r="F27" t="s">
        <v>40</v>
      </c>
      <c r="G27" t="s">
        <v>22</v>
      </c>
      <c r="H27" t="s">
        <v>21</v>
      </c>
    </row>
    <row r="28" spans="1:8" x14ac:dyDescent="0.25">
      <c r="A28" t="s">
        <v>45</v>
      </c>
      <c r="B28" t="s">
        <v>122</v>
      </c>
      <c r="C28" t="s">
        <v>118</v>
      </c>
      <c r="F28" t="s">
        <v>40</v>
      </c>
      <c r="G28" t="s">
        <v>26</v>
      </c>
      <c r="H28" t="s">
        <v>21</v>
      </c>
    </row>
    <row r="29" spans="1:8" x14ac:dyDescent="0.25">
      <c r="A29" t="s">
        <v>42</v>
      </c>
      <c r="B29" t="s">
        <v>130</v>
      </c>
      <c r="C29" t="s">
        <v>131</v>
      </c>
      <c r="F29" t="s">
        <v>40</v>
      </c>
      <c r="G29" t="s">
        <v>26</v>
      </c>
      <c r="H29" t="s">
        <v>21</v>
      </c>
    </row>
    <row r="30" spans="1:8" x14ac:dyDescent="0.25">
      <c r="A30" t="s">
        <v>42</v>
      </c>
      <c r="B30" t="s">
        <v>133</v>
      </c>
      <c r="C30" t="s">
        <v>134</v>
      </c>
      <c r="F30" t="s">
        <v>40</v>
      </c>
      <c r="G30" t="s">
        <v>26</v>
      </c>
      <c r="H30" t="s">
        <v>21</v>
      </c>
    </row>
    <row r="31" spans="1:8" s="16" customFormat="1" x14ac:dyDescent="0.25">
      <c r="A31" s="16" t="s">
        <v>42</v>
      </c>
      <c r="B31" s="16" t="s">
        <v>150</v>
      </c>
      <c r="C31" s="16" t="s">
        <v>151</v>
      </c>
      <c r="E31" s="16" t="s">
        <v>84</v>
      </c>
      <c r="F31" s="16" t="s">
        <v>40</v>
      </c>
      <c r="G31" s="16" t="s">
        <v>22</v>
      </c>
      <c r="H31" s="16" t="s">
        <v>21</v>
      </c>
    </row>
    <row r="32" spans="1:8" x14ac:dyDescent="0.25">
      <c r="A32" t="s">
        <v>128</v>
      </c>
      <c r="B32" t="s">
        <v>129</v>
      </c>
      <c r="C32" t="s">
        <v>127</v>
      </c>
      <c r="F32" t="s">
        <v>40</v>
      </c>
      <c r="G32" t="s">
        <v>26</v>
      </c>
      <c r="H32" t="s">
        <v>21</v>
      </c>
    </row>
    <row r="33" spans="1:8" x14ac:dyDescent="0.25">
      <c r="A33" s="16" t="s">
        <v>95</v>
      </c>
      <c r="B33" t="s">
        <v>135</v>
      </c>
      <c r="C33" t="s">
        <v>136</v>
      </c>
      <c r="F33" s="16" t="s">
        <v>40</v>
      </c>
      <c r="G33" s="16" t="s">
        <v>26</v>
      </c>
      <c r="H33" s="16" t="s">
        <v>97</v>
      </c>
    </row>
    <row r="34" spans="1:8" x14ac:dyDescent="0.25">
      <c r="A34" s="16" t="s">
        <v>95</v>
      </c>
      <c r="B34" s="16" t="s">
        <v>139</v>
      </c>
      <c r="C34" s="16" t="s">
        <v>140</v>
      </c>
      <c r="F34" s="16" t="s">
        <v>40</v>
      </c>
      <c r="G34" s="16" t="s">
        <v>26</v>
      </c>
      <c r="H34" s="16" t="s">
        <v>97</v>
      </c>
    </row>
    <row r="35" spans="1:8" x14ac:dyDescent="0.25">
      <c r="A35" t="s">
        <v>45</v>
      </c>
      <c r="B35" t="s">
        <v>143</v>
      </c>
      <c r="C35" t="s">
        <v>141</v>
      </c>
      <c r="E35" s="16" t="s">
        <v>84</v>
      </c>
      <c r="F35" s="16" t="s">
        <v>40</v>
      </c>
      <c r="G35" s="16" t="s">
        <v>22</v>
      </c>
      <c r="H35" s="16" t="s">
        <v>21</v>
      </c>
    </row>
    <row r="36" spans="1:8" x14ac:dyDescent="0.25">
      <c r="A36" s="16" t="s">
        <v>45</v>
      </c>
      <c r="B36" s="16" t="s">
        <v>144</v>
      </c>
      <c r="C36" t="s">
        <v>142</v>
      </c>
      <c r="F36" s="16" t="s">
        <v>40</v>
      </c>
      <c r="G36" s="16" t="s">
        <v>26</v>
      </c>
      <c r="H36" s="16" t="s">
        <v>21</v>
      </c>
    </row>
    <row r="37" spans="1:8" x14ac:dyDescent="0.25">
      <c r="A37" t="s">
        <v>146</v>
      </c>
      <c r="B37" t="s">
        <v>147</v>
      </c>
      <c r="C37" t="s">
        <v>145</v>
      </c>
      <c r="F37" s="16" t="s">
        <v>40</v>
      </c>
      <c r="G37" s="16" t="s">
        <v>26</v>
      </c>
      <c r="H37" s="16" t="s">
        <v>97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BF7A5-5A80-49F8-9308-AE084107260A}">
  <dimension ref="A3:B43"/>
  <sheetViews>
    <sheetView topLeftCell="A13" workbookViewId="0">
      <selection activeCell="A43" sqref="A43"/>
    </sheetView>
  </sheetViews>
  <sheetFormatPr defaultRowHeight="15" x14ac:dyDescent="0.25"/>
  <cols>
    <col min="1" max="1" width="9.85546875" bestFit="1" customWidth="1"/>
    <col min="2" max="2" width="14" bestFit="1" customWidth="1"/>
  </cols>
  <sheetData>
    <row r="3" spans="1:2" x14ac:dyDescent="0.25">
      <c r="B3" t="s">
        <v>112</v>
      </c>
    </row>
    <row r="4" spans="1:2" x14ac:dyDescent="0.25">
      <c r="A4" s="1">
        <v>42370</v>
      </c>
      <c r="B4" s="16">
        <v>114851.7670500872</v>
      </c>
    </row>
    <row r="5" spans="1:2" x14ac:dyDescent="0.25">
      <c r="A5" s="1">
        <v>42461</v>
      </c>
      <c r="B5" s="16">
        <v>156356.09443503723</v>
      </c>
    </row>
    <row r="6" spans="1:2" x14ac:dyDescent="0.25">
      <c r="A6" s="1">
        <v>42552</v>
      </c>
      <c r="B6" s="16">
        <v>162379.39228834482</v>
      </c>
    </row>
    <row r="7" spans="1:2" x14ac:dyDescent="0.25">
      <c r="A7" s="1">
        <v>42644</v>
      </c>
      <c r="B7" s="16">
        <v>229201.91900668459</v>
      </c>
    </row>
    <row r="8" spans="1:2" x14ac:dyDescent="0.25">
      <c r="A8" s="1">
        <v>42736</v>
      </c>
      <c r="B8" s="16">
        <v>124889.17284276006</v>
      </c>
    </row>
    <row r="9" spans="1:2" x14ac:dyDescent="0.25">
      <c r="A9" s="1">
        <v>42826</v>
      </c>
      <c r="B9" s="16">
        <v>169678.17322128866</v>
      </c>
    </row>
    <row r="10" spans="1:2" x14ac:dyDescent="0.25">
      <c r="A10" s="1">
        <v>42917</v>
      </c>
      <c r="B10" s="16">
        <v>187753.40959964533</v>
      </c>
    </row>
    <row r="11" spans="1:2" x14ac:dyDescent="0.25">
      <c r="A11" s="1">
        <v>43009</v>
      </c>
      <c r="B11" s="16">
        <v>211619.50823712721</v>
      </c>
    </row>
    <row r="12" spans="1:2" x14ac:dyDescent="0.25">
      <c r="A12" s="1">
        <v>43101</v>
      </c>
      <c r="B12" s="16">
        <v>139726.44294087455</v>
      </c>
    </row>
    <row r="13" spans="1:2" x14ac:dyDescent="0.25">
      <c r="A13" s="1">
        <v>43191</v>
      </c>
      <c r="B13" s="16">
        <v>187122.5497020433</v>
      </c>
    </row>
    <row r="14" spans="1:2" x14ac:dyDescent="0.25">
      <c r="A14" s="1">
        <v>43282</v>
      </c>
      <c r="B14" s="16">
        <v>192794.44088887915</v>
      </c>
    </row>
    <row r="15" spans="1:2" x14ac:dyDescent="0.25">
      <c r="A15" s="1">
        <v>43374</v>
      </c>
      <c r="B15" s="16">
        <v>213851.42541137111</v>
      </c>
    </row>
    <row r="16" spans="1:2" x14ac:dyDescent="0.25">
      <c r="A16" s="1">
        <v>43466</v>
      </c>
      <c r="B16" s="16">
        <v>148592.23233464122</v>
      </c>
    </row>
    <row r="17" spans="1:2" x14ac:dyDescent="0.25">
      <c r="A17" s="1">
        <v>43556</v>
      </c>
      <c r="B17" s="16">
        <v>197521.92900790885</v>
      </c>
    </row>
    <row r="18" spans="1:2" x14ac:dyDescent="0.25">
      <c r="A18" s="1">
        <v>43647</v>
      </c>
      <c r="B18" s="16">
        <v>205640.34660515486</v>
      </c>
    </row>
    <row r="19" spans="1:2" x14ac:dyDescent="0.25">
      <c r="A19" s="1">
        <v>43739</v>
      </c>
      <c r="B19" s="16">
        <v>231618.00140359852</v>
      </c>
    </row>
    <row r="20" spans="1:2" x14ac:dyDescent="0.25">
      <c r="A20" s="1">
        <v>43831</v>
      </c>
      <c r="B20" s="16">
        <v>153846.43494025728</v>
      </c>
    </row>
    <row r="21" spans="1:2" x14ac:dyDescent="0.25">
      <c r="A21" s="1">
        <v>43922</v>
      </c>
      <c r="B21" s="16">
        <v>189059.60129770907</v>
      </c>
    </row>
    <row r="22" spans="1:2" x14ac:dyDescent="0.25">
      <c r="A22" s="1">
        <v>44013</v>
      </c>
      <c r="B22" s="16">
        <v>201131.5420580419</v>
      </c>
    </row>
    <row r="23" spans="1:2" x14ac:dyDescent="0.25">
      <c r="A23" s="1">
        <v>44105</v>
      </c>
      <c r="B23" s="16">
        <v>251868.89120491582</v>
      </c>
    </row>
    <row r="24" spans="1:2" x14ac:dyDescent="0.25">
      <c r="A24" s="1">
        <v>44197</v>
      </c>
      <c r="B24" s="16">
        <v>160669.95504690468</v>
      </c>
    </row>
    <row r="25" spans="1:2" x14ac:dyDescent="0.25">
      <c r="A25" s="1">
        <v>44287</v>
      </c>
      <c r="B25" s="16">
        <v>211934.43094572666</v>
      </c>
    </row>
    <row r="26" spans="1:2" x14ac:dyDescent="0.25">
      <c r="A26" s="1">
        <v>44378</v>
      </c>
      <c r="B26" s="16">
        <v>222209.68581448033</v>
      </c>
    </row>
    <row r="27" spans="1:2" x14ac:dyDescent="0.25">
      <c r="A27" s="1">
        <v>44470</v>
      </c>
      <c r="B27" s="16">
        <v>266356.7281928882</v>
      </c>
    </row>
    <row r="28" spans="1:2" x14ac:dyDescent="0.25">
      <c r="A28" s="1">
        <v>44562</v>
      </c>
      <c r="B28" s="16">
        <v>178089.12104949367</v>
      </c>
    </row>
    <row r="29" spans="1:2" x14ac:dyDescent="0.25">
      <c r="A29" s="1">
        <v>44652</v>
      </c>
      <c r="B29" s="16">
        <v>208093.90025794919</v>
      </c>
    </row>
    <row r="30" spans="1:2" x14ac:dyDescent="0.25">
      <c r="A30" s="1">
        <v>44743</v>
      </c>
      <c r="B30" s="16">
        <v>239623.66758973862</v>
      </c>
    </row>
    <row r="31" spans="1:2" x14ac:dyDescent="0.25">
      <c r="A31" s="1">
        <v>44835</v>
      </c>
      <c r="B31" s="16">
        <v>287895.52990281844</v>
      </c>
    </row>
    <row r="32" spans="1:2" x14ac:dyDescent="0.25">
      <c r="A32" s="1">
        <v>44927</v>
      </c>
      <c r="B32" s="16">
        <v>184833.73027045099</v>
      </c>
    </row>
    <row r="33" spans="1:2" x14ac:dyDescent="0.25">
      <c r="A33" s="1">
        <v>45017</v>
      </c>
      <c r="B33" s="16">
        <v>236162.67299143615</v>
      </c>
    </row>
    <row r="34" spans="1:2" x14ac:dyDescent="0.25">
      <c r="A34" s="1">
        <v>45108</v>
      </c>
      <c r="B34" s="16">
        <v>242265.96263939879</v>
      </c>
    </row>
    <row r="35" spans="1:2" x14ac:dyDescent="0.25">
      <c r="A35" s="1">
        <v>45200</v>
      </c>
      <c r="B35" s="16">
        <v>308003.09268311394</v>
      </c>
    </row>
    <row r="36" spans="1:2" x14ac:dyDescent="0.25">
      <c r="A36" s="1">
        <v>45292</v>
      </c>
      <c r="B36" s="16">
        <v>198218.63999269225</v>
      </c>
    </row>
    <row r="37" spans="1:2" x14ac:dyDescent="0.25">
      <c r="A37" s="1">
        <v>45383</v>
      </c>
      <c r="B37" s="16">
        <v>269923.48296176526</v>
      </c>
    </row>
    <row r="38" spans="1:2" x14ac:dyDescent="0.25">
      <c r="A38" s="1">
        <v>45474</v>
      </c>
      <c r="B38" s="16">
        <v>275520.18045565253</v>
      </c>
    </row>
    <row r="39" spans="1:2" x14ac:dyDescent="0.25">
      <c r="A39" s="1">
        <v>45566</v>
      </c>
      <c r="B39" s="16">
        <v>292677.94089944445</v>
      </c>
    </row>
    <row r="40" spans="1:2" x14ac:dyDescent="0.25">
      <c r="A40" s="1">
        <v>45658</v>
      </c>
      <c r="B40" s="16">
        <v>207673.94497188542</v>
      </c>
    </row>
    <row r="41" spans="1:2" x14ac:dyDescent="0.25">
      <c r="A41" s="1">
        <v>45748</v>
      </c>
      <c r="B41" s="16">
        <v>286529.41112621618</v>
      </c>
    </row>
    <row r="42" spans="1:2" x14ac:dyDescent="0.25">
      <c r="A42" s="1">
        <v>45839</v>
      </c>
      <c r="B42" s="16">
        <v>293933.61751872802</v>
      </c>
    </row>
    <row r="43" spans="1:2" x14ac:dyDescent="0.25">
      <c r="A43" s="1">
        <v>45931</v>
      </c>
      <c r="B43" s="16">
        <v>317688.6975701027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F7C83-5BBD-4A95-80FB-7D5A5D289CE7}">
  <dimension ref="A4:AJ406"/>
  <sheetViews>
    <sheetView workbookViewId="0">
      <pane xSplit="1" ySplit="4" topLeftCell="B98" activePane="bottomRight" state="frozen"/>
      <selection pane="topRight" activeCell="B1" sqref="B1"/>
      <selection pane="bottomLeft" activeCell="A5" sqref="A5"/>
      <selection pane="bottomRight" activeCell="AJ112" sqref="B112:AJ112"/>
    </sheetView>
  </sheetViews>
  <sheetFormatPr defaultColWidth="11.140625" defaultRowHeight="15" x14ac:dyDescent="0.25"/>
  <cols>
    <col min="1" max="1" width="23.5703125" customWidth="1"/>
    <col min="2" max="2" width="14.5703125" customWidth="1"/>
    <col min="3" max="3" width="17" customWidth="1"/>
    <col min="4" max="5" width="18.140625" bestFit="1" customWidth="1"/>
    <col min="6" max="6" width="18.85546875" customWidth="1"/>
    <col min="7" max="7" width="18.28515625" customWidth="1"/>
    <col min="8" max="8" width="19.140625" customWidth="1"/>
    <col min="9" max="9" width="11.85546875" customWidth="1"/>
    <col min="10" max="10" width="11.7109375" customWidth="1"/>
    <col min="11" max="11" width="11.7109375" bestFit="1" customWidth="1"/>
    <col min="12" max="12" width="22.5703125" customWidth="1"/>
    <col min="13" max="13" width="18.42578125" customWidth="1"/>
    <col min="14" max="14" width="20.5703125" customWidth="1"/>
    <col min="15" max="15" width="24.85546875" customWidth="1"/>
    <col min="16" max="16" width="17.5703125" customWidth="1"/>
    <col min="17" max="17" width="25.7109375" customWidth="1"/>
    <col min="18" max="18" width="14.28515625" customWidth="1"/>
    <col min="19" max="19" width="11.85546875" bestFit="1" customWidth="1"/>
    <col min="24" max="24" width="12" bestFit="1" customWidth="1"/>
    <col min="25" max="25" width="12" customWidth="1"/>
    <col min="28" max="28" width="15.28515625" customWidth="1"/>
    <col min="29" max="29" width="13.42578125" customWidth="1"/>
    <col min="30" max="30" width="11.85546875" style="16" customWidth="1"/>
    <col min="31" max="31" width="14.28515625" customWidth="1"/>
    <col min="33" max="33" width="12.7109375" customWidth="1"/>
  </cols>
  <sheetData>
    <row r="4" spans="1:36" ht="120" x14ac:dyDescent="0.25">
      <c r="B4" s="17" t="s">
        <v>56</v>
      </c>
      <c r="C4" s="17" t="s">
        <v>62</v>
      </c>
      <c r="D4" s="17" t="s">
        <v>63</v>
      </c>
      <c r="E4" s="17" t="s">
        <v>64</v>
      </c>
      <c r="F4" s="17" t="s">
        <v>52</v>
      </c>
      <c r="G4" s="17" t="s">
        <v>53</v>
      </c>
      <c r="H4" s="17" t="s">
        <v>61</v>
      </c>
      <c r="I4" s="17" t="s">
        <v>59</v>
      </c>
      <c r="J4" s="17" t="s">
        <v>60</v>
      </c>
      <c r="K4" s="17" t="s">
        <v>55</v>
      </c>
      <c r="L4" s="17" t="s">
        <v>57</v>
      </c>
      <c r="M4" s="17" t="s">
        <v>54</v>
      </c>
      <c r="N4" s="17" t="s">
        <v>58</v>
      </c>
      <c r="O4" s="17" t="s">
        <v>86</v>
      </c>
      <c r="P4" s="17" t="s">
        <v>51</v>
      </c>
      <c r="Q4" s="17" t="s">
        <v>65</v>
      </c>
      <c r="R4" s="7" t="s">
        <v>106</v>
      </c>
      <c r="S4" s="7" t="s">
        <v>107</v>
      </c>
      <c r="T4" s="7" t="s">
        <v>92</v>
      </c>
      <c r="U4" s="7" t="s">
        <v>93</v>
      </c>
      <c r="V4" s="7" t="s">
        <v>94</v>
      </c>
      <c r="W4" s="7" t="s">
        <v>114</v>
      </c>
      <c r="X4" s="7" t="s">
        <v>116</v>
      </c>
      <c r="Y4" s="7" t="s">
        <v>125</v>
      </c>
      <c r="Z4" s="7" t="s">
        <v>117</v>
      </c>
      <c r="AA4" s="7" t="s">
        <v>118</v>
      </c>
      <c r="AB4" s="7" t="s">
        <v>131</v>
      </c>
      <c r="AC4" s="7" t="s">
        <v>132</v>
      </c>
      <c r="AD4" s="17" t="s">
        <v>149</v>
      </c>
      <c r="AE4" s="7" t="s">
        <v>127</v>
      </c>
      <c r="AF4" s="17" t="s">
        <v>137</v>
      </c>
      <c r="AG4" s="17" t="s">
        <v>138</v>
      </c>
      <c r="AH4" s="17" t="s">
        <v>141</v>
      </c>
      <c r="AI4" s="17" t="s">
        <v>142</v>
      </c>
      <c r="AJ4" s="17" t="s">
        <v>145</v>
      </c>
    </row>
    <row r="5" spans="1:36" x14ac:dyDescent="0.25">
      <c r="A5" s="1">
        <v>42736</v>
      </c>
      <c r="B5">
        <v>27983000000000</v>
      </c>
      <c r="C5" s="6">
        <v>104</v>
      </c>
      <c r="D5">
        <v>668441445.86000001</v>
      </c>
      <c r="E5">
        <v>379870403.60000002</v>
      </c>
      <c r="F5">
        <v>568936975</v>
      </c>
      <c r="G5">
        <v>790213275</v>
      </c>
      <c r="H5">
        <v>4400</v>
      </c>
      <c r="I5">
        <v>100.6</v>
      </c>
      <c r="J5">
        <v>101.7</v>
      </c>
      <c r="K5">
        <v>100.9</v>
      </c>
      <c r="L5">
        <v>13208730628000</v>
      </c>
      <c r="M5">
        <v>52225471818000</v>
      </c>
      <c r="O5">
        <v>8.0207169999999994</v>
      </c>
      <c r="P5" s="24">
        <v>3249.55</v>
      </c>
      <c r="Q5">
        <v>103.8</v>
      </c>
      <c r="R5" s="5">
        <v>1165.801620597985</v>
      </c>
      <c r="S5" s="8">
        <v>973.55665274934552</v>
      </c>
      <c r="T5" s="9">
        <v>5485561</v>
      </c>
      <c r="U5" s="9"/>
      <c r="V5" s="9"/>
      <c r="Z5">
        <v>22785.160402935024</v>
      </c>
      <c r="AH5">
        <v>18287.450190562056</v>
      </c>
      <c r="AJ5">
        <v>20434</v>
      </c>
    </row>
    <row r="6" spans="1:36" x14ac:dyDescent="0.25">
      <c r="A6" s="1">
        <v>42767</v>
      </c>
      <c r="B6">
        <v>27983000000000</v>
      </c>
      <c r="C6" s="6">
        <v>104</v>
      </c>
      <c r="D6">
        <v>1417890481.8599999</v>
      </c>
      <c r="E6">
        <v>803740087.19999993</v>
      </c>
      <c r="F6">
        <v>1177597096</v>
      </c>
      <c r="G6">
        <v>1655430658</v>
      </c>
      <c r="H6">
        <v>4400</v>
      </c>
      <c r="I6">
        <v>100.3</v>
      </c>
      <c r="J6">
        <v>101.7</v>
      </c>
      <c r="K6">
        <v>101</v>
      </c>
      <c r="L6">
        <v>13534968318000</v>
      </c>
      <c r="M6">
        <v>52704156559000</v>
      </c>
      <c r="O6">
        <v>7.569121</v>
      </c>
      <c r="P6" s="24">
        <v>3314.74</v>
      </c>
      <c r="Q6">
        <v>103.7</v>
      </c>
      <c r="R6" s="5">
        <v>1100.643040059877</v>
      </c>
      <c r="S6" s="8">
        <v>1151.716495362572</v>
      </c>
      <c r="T6" s="9">
        <v>5917014</v>
      </c>
      <c r="U6" s="9"/>
      <c r="V6" s="9"/>
      <c r="Z6">
        <v>22919.713972155314</v>
      </c>
      <c r="AH6">
        <v>19923.235289409116</v>
      </c>
      <c r="AJ6">
        <v>24252</v>
      </c>
    </row>
    <row r="7" spans="1:36" x14ac:dyDescent="0.25">
      <c r="A7" s="1">
        <v>42795</v>
      </c>
      <c r="B7">
        <v>27983000000000</v>
      </c>
      <c r="C7" s="6">
        <v>104</v>
      </c>
      <c r="D7">
        <v>2464169267.8600001</v>
      </c>
      <c r="E7">
        <v>1779361416.1000001</v>
      </c>
      <c r="F7">
        <v>2370623317</v>
      </c>
      <c r="G7">
        <v>2801836678</v>
      </c>
      <c r="H7">
        <v>14049</v>
      </c>
      <c r="I7">
        <v>100.5</v>
      </c>
      <c r="J7">
        <v>101.2</v>
      </c>
      <c r="K7">
        <v>101.2</v>
      </c>
      <c r="L7">
        <v>14754934489000</v>
      </c>
      <c r="M7">
        <v>53985144836000</v>
      </c>
      <c r="N7">
        <v>0.86335200000000001</v>
      </c>
      <c r="O7">
        <v>7.3612019999999996</v>
      </c>
      <c r="P7" s="24">
        <v>3490.74</v>
      </c>
      <c r="Q7">
        <v>104.8</v>
      </c>
      <c r="R7" s="5">
        <v>1156.4024831385407</v>
      </c>
      <c r="S7" s="8">
        <v>1084.5155299659555</v>
      </c>
      <c r="T7" s="9">
        <v>6546587</v>
      </c>
      <c r="U7" s="9"/>
      <c r="V7" s="9"/>
      <c r="Z7">
        <v>27043.817570394982</v>
      </c>
      <c r="AH7">
        <v>21329.780908905643</v>
      </c>
      <c r="AJ7">
        <v>30562</v>
      </c>
    </row>
    <row r="8" spans="1:36" x14ac:dyDescent="0.25">
      <c r="A8" s="1">
        <v>42826</v>
      </c>
      <c r="B8">
        <v>60195000000000</v>
      </c>
      <c r="C8" s="6">
        <v>103.2</v>
      </c>
      <c r="D8">
        <v>3746760065.8600001</v>
      </c>
      <c r="E8">
        <v>2750588083.3000002</v>
      </c>
      <c r="F8">
        <v>3536769192</v>
      </c>
      <c r="G8">
        <v>4228478188</v>
      </c>
      <c r="H8">
        <v>17996</v>
      </c>
      <c r="I8">
        <v>100.8</v>
      </c>
      <c r="J8">
        <v>101</v>
      </c>
      <c r="K8">
        <v>101.3</v>
      </c>
      <c r="L8">
        <v>15934302647000</v>
      </c>
      <c r="M8">
        <v>56209490040000</v>
      </c>
      <c r="N8">
        <v>0.86335200000000001</v>
      </c>
      <c r="O8">
        <v>7.9883980000000001</v>
      </c>
      <c r="P8" s="24">
        <v>3656.38</v>
      </c>
      <c r="Q8">
        <v>105.4</v>
      </c>
      <c r="R8" s="5">
        <v>1105.6605518859089</v>
      </c>
      <c r="S8" s="8">
        <v>992.02918524548772</v>
      </c>
      <c r="T8" s="9">
        <v>6602976</v>
      </c>
      <c r="U8" s="9"/>
      <c r="V8" s="9"/>
      <c r="Z8">
        <v>25330.387221097146</v>
      </c>
      <c r="AH8">
        <v>20770.769824256469</v>
      </c>
      <c r="AJ8">
        <v>25008</v>
      </c>
    </row>
    <row r="9" spans="1:36" x14ac:dyDescent="0.25">
      <c r="A9" s="1">
        <v>42856</v>
      </c>
      <c r="B9">
        <v>60195000000000</v>
      </c>
      <c r="C9" s="6">
        <v>103.2</v>
      </c>
      <c r="D9">
        <v>4684846084.8599997</v>
      </c>
      <c r="E9">
        <v>3717643167.7000003</v>
      </c>
      <c r="F9">
        <v>4691626799</v>
      </c>
      <c r="G9">
        <v>5299850224</v>
      </c>
      <c r="H9">
        <v>21854</v>
      </c>
      <c r="I9">
        <v>100.5</v>
      </c>
      <c r="J9">
        <v>101.5</v>
      </c>
      <c r="K9">
        <v>101</v>
      </c>
      <c r="L9">
        <v>16955975714000</v>
      </c>
      <c r="M9">
        <v>57881832088000</v>
      </c>
      <c r="N9">
        <v>0.86335200000000001</v>
      </c>
      <c r="O9">
        <v>6.7984850000000003</v>
      </c>
      <c r="P9" s="24">
        <v>3777.91</v>
      </c>
      <c r="Q9">
        <v>105.8</v>
      </c>
      <c r="R9" s="5">
        <v>1102.188357929276</v>
      </c>
      <c r="S9" s="8">
        <v>1008.9768970258459</v>
      </c>
      <c r="T9" s="9">
        <v>6765170</v>
      </c>
      <c r="U9" s="9"/>
      <c r="V9" s="9"/>
      <c r="Z9">
        <v>26895.988312132718</v>
      </c>
      <c r="AH9">
        <v>22830.997831675209</v>
      </c>
      <c r="AJ9">
        <v>27446</v>
      </c>
    </row>
    <row r="10" spans="1:36" x14ac:dyDescent="0.25">
      <c r="A10" s="1">
        <v>42887</v>
      </c>
      <c r="B10">
        <v>60195000000000</v>
      </c>
      <c r="C10" s="6">
        <v>103.2</v>
      </c>
      <c r="D10">
        <v>5675507238.8599997</v>
      </c>
      <c r="E10">
        <v>4282545801.4000001</v>
      </c>
      <c r="F10">
        <v>5486856894</v>
      </c>
      <c r="G10">
        <v>6504169103</v>
      </c>
      <c r="H10">
        <v>25009</v>
      </c>
      <c r="I10">
        <v>101</v>
      </c>
      <c r="J10">
        <v>100.6</v>
      </c>
      <c r="K10">
        <v>103.9</v>
      </c>
      <c r="L10">
        <v>17802785134000</v>
      </c>
      <c r="M10">
        <v>59307389551000</v>
      </c>
      <c r="N10">
        <v>0.79471700000000001</v>
      </c>
      <c r="O10">
        <v>6.8113729999999997</v>
      </c>
      <c r="P10" s="24">
        <v>3899.95</v>
      </c>
      <c r="Q10">
        <v>105.8</v>
      </c>
      <c r="R10" s="5">
        <v>1029.9053602205804</v>
      </c>
      <c r="S10" s="8">
        <v>974.75144761343404</v>
      </c>
      <c r="T10" s="9">
        <v>6334553</v>
      </c>
      <c r="U10" s="9"/>
      <c r="V10" s="9"/>
      <c r="Z10">
        <v>28141.304816801574</v>
      </c>
      <c r="AH10">
        <v>23806.525145292071</v>
      </c>
      <c r="AJ10">
        <v>26452</v>
      </c>
    </row>
    <row r="11" spans="1:36" x14ac:dyDescent="0.25">
      <c r="A11" s="1">
        <v>42917</v>
      </c>
      <c r="B11">
        <v>99408000000000</v>
      </c>
      <c r="C11" s="6">
        <v>103.2</v>
      </c>
      <c r="D11">
        <v>6717523939.8600006</v>
      </c>
      <c r="E11">
        <v>5203443831.1000004</v>
      </c>
      <c r="F11">
        <v>6611443459</v>
      </c>
      <c r="G11">
        <v>7727391675</v>
      </c>
      <c r="H11">
        <v>27663</v>
      </c>
      <c r="I11">
        <v>101.9</v>
      </c>
      <c r="J11">
        <v>100.6</v>
      </c>
      <c r="K11">
        <v>101.2</v>
      </c>
      <c r="L11">
        <v>18558312576000</v>
      </c>
      <c r="M11">
        <v>62409418357000</v>
      </c>
      <c r="N11">
        <v>0.79471700000000001</v>
      </c>
      <c r="O11">
        <v>11.141328</v>
      </c>
      <c r="P11" s="24">
        <v>4021.71</v>
      </c>
      <c r="Q11">
        <v>105.5</v>
      </c>
      <c r="R11" s="5">
        <v>1013.7287241688548</v>
      </c>
      <c r="S11" s="8">
        <v>976.20858789638555</v>
      </c>
      <c r="T11" s="9">
        <v>6487834</v>
      </c>
      <c r="U11" s="9"/>
      <c r="V11" s="9"/>
      <c r="Z11">
        <v>28141.310788300998</v>
      </c>
      <c r="AH11">
        <v>24448.720013256214</v>
      </c>
      <c r="AJ11">
        <v>24829</v>
      </c>
    </row>
    <row r="12" spans="1:36" x14ac:dyDescent="0.25">
      <c r="A12" s="1">
        <v>42948</v>
      </c>
      <c r="B12">
        <v>99408000000000</v>
      </c>
      <c r="C12" s="6">
        <v>103.2</v>
      </c>
      <c r="D12">
        <v>7998907758.8600006</v>
      </c>
      <c r="E12">
        <v>6580652670.3000002</v>
      </c>
      <c r="F12">
        <v>8191927259</v>
      </c>
      <c r="G12">
        <v>9160914517</v>
      </c>
      <c r="H12">
        <v>30542</v>
      </c>
      <c r="I12">
        <v>100.8</v>
      </c>
      <c r="J12">
        <v>100.9</v>
      </c>
      <c r="K12">
        <v>100.7</v>
      </c>
      <c r="L12">
        <v>18582990773000</v>
      </c>
      <c r="M12">
        <v>63062556872000</v>
      </c>
      <c r="N12">
        <v>0.79471700000000001</v>
      </c>
      <c r="O12">
        <v>13.331677000000001</v>
      </c>
      <c r="P12" s="24">
        <v>4147.1499999999996</v>
      </c>
      <c r="Q12">
        <v>105.8</v>
      </c>
      <c r="R12" s="5">
        <v>1023.9574186195837</v>
      </c>
      <c r="S12" s="8">
        <v>1039.7745619662669</v>
      </c>
      <c r="T12" s="9">
        <v>6550844</v>
      </c>
      <c r="U12" s="9"/>
      <c r="V12" s="9"/>
      <c r="Z12">
        <v>26815.654408819759</v>
      </c>
      <c r="AH12">
        <v>20858.598673249511</v>
      </c>
      <c r="AJ12">
        <v>24865</v>
      </c>
    </row>
    <row r="13" spans="1:36" x14ac:dyDescent="0.25">
      <c r="A13" s="1">
        <v>42979</v>
      </c>
      <c r="B13">
        <v>99408000000000</v>
      </c>
      <c r="C13" s="6">
        <v>103.2</v>
      </c>
      <c r="D13">
        <v>8893975967.8600006</v>
      </c>
      <c r="E13">
        <v>7552718716.1999998</v>
      </c>
      <c r="F13">
        <v>9404823252</v>
      </c>
      <c r="G13">
        <v>10257889260</v>
      </c>
      <c r="H13">
        <v>32774</v>
      </c>
      <c r="I13">
        <v>100.4</v>
      </c>
      <c r="J13">
        <v>101.6</v>
      </c>
      <c r="K13">
        <v>106.4</v>
      </c>
      <c r="L13">
        <v>18210793753000</v>
      </c>
      <c r="M13">
        <v>62265213218000</v>
      </c>
      <c r="N13">
        <v>1.1146590000000001</v>
      </c>
      <c r="O13">
        <v>14.059774000000001</v>
      </c>
      <c r="P13" s="24">
        <v>7568.78</v>
      </c>
      <c r="Q13">
        <v>105.9</v>
      </c>
      <c r="R13" s="5">
        <v>975.89139502265141</v>
      </c>
      <c r="S13" s="8">
        <v>968.10401383084286</v>
      </c>
      <c r="T13" s="9">
        <v>6408902</v>
      </c>
      <c r="U13" s="9"/>
      <c r="V13" s="9"/>
      <c r="Z13">
        <v>28606.877833454899</v>
      </c>
      <c r="AH13">
        <v>18777.333102635155</v>
      </c>
      <c r="AJ13">
        <v>21607</v>
      </c>
    </row>
    <row r="14" spans="1:36" x14ac:dyDescent="0.25">
      <c r="A14" s="1">
        <v>43009</v>
      </c>
      <c r="B14">
        <v>148815994000000</v>
      </c>
      <c r="C14" s="6">
        <v>105.2</v>
      </c>
      <c r="D14">
        <v>9976994395.460001</v>
      </c>
      <c r="E14">
        <v>8683190920.9400005</v>
      </c>
      <c r="F14">
        <v>10697018149</v>
      </c>
      <c r="G14">
        <v>11538212344</v>
      </c>
      <c r="H14">
        <v>35434</v>
      </c>
      <c r="I14">
        <v>100.2</v>
      </c>
      <c r="J14">
        <v>101.5</v>
      </c>
      <c r="K14">
        <v>104.6</v>
      </c>
      <c r="L14">
        <v>20310571202000</v>
      </c>
      <c r="M14">
        <v>73671921471000</v>
      </c>
      <c r="N14">
        <v>1.1146590000000001</v>
      </c>
      <c r="O14">
        <v>10.79194</v>
      </c>
      <c r="P14" s="24">
        <v>8061.32</v>
      </c>
      <c r="Q14">
        <v>105.4</v>
      </c>
      <c r="R14" s="5">
        <v>1082.7498007993163</v>
      </c>
      <c r="S14" s="8">
        <v>1144.8907462653299</v>
      </c>
      <c r="T14" s="9">
        <v>6955683</v>
      </c>
      <c r="U14" s="9"/>
      <c r="V14" s="9"/>
      <c r="Z14">
        <v>24306.886424236334</v>
      </c>
      <c r="AH14">
        <v>25110.542553545427</v>
      </c>
      <c r="AJ14">
        <v>30088</v>
      </c>
    </row>
    <row r="15" spans="1:36" x14ac:dyDescent="0.25">
      <c r="A15" s="1">
        <v>43040</v>
      </c>
      <c r="B15">
        <v>148815994000000</v>
      </c>
      <c r="C15" s="6">
        <v>105.2</v>
      </c>
      <c r="D15">
        <v>10983679862.42</v>
      </c>
      <c r="E15">
        <v>9479563535.7700005</v>
      </c>
      <c r="F15">
        <v>11699170273</v>
      </c>
      <c r="G15">
        <v>12680351097</v>
      </c>
      <c r="H15">
        <v>38488</v>
      </c>
      <c r="I15">
        <v>100.5</v>
      </c>
      <c r="J15">
        <v>102.5</v>
      </c>
      <c r="K15">
        <v>103.9</v>
      </c>
      <c r="L15">
        <v>20501200093000</v>
      </c>
      <c r="M15">
        <v>72736601779000</v>
      </c>
      <c r="N15">
        <v>1.1146590000000001</v>
      </c>
      <c r="O15">
        <v>14.072139</v>
      </c>
      <c r="P15" s="24">
        <v>8077.02</v>
      </c>
      <c r="Q15">
        <v>105.1</v>
      </c>
      <c r="R15" s="5">
        <v>1083.4870083542094</v>
      </c>
      <c r="S15" s="8">
        <v>983.78143474006083</v>
      </c>
      <c r="T15" s="9">
        <v>6457020</v>
      </c>
      <c r="U15" s="9"/>
      <c r="V15" s="9"/>
      <c r="Z15">
        <v>20090.021947764202</v>
      </c>
      <c r="AH15">
        <v>18910.215248710054</v>
      </c>
      <c r="AJ15">
        <v>28248</v>
      </c>
    </row>
    <row r="16" spans="1:36" x14ac:dyDescent="0.25">
      <c r="A16" s="1">
        <v>43070</v>
      </c>
      <c r="B16">
        <v>148815994000000</v>
      </c>
      <c r="C16" s="6">
        <v>105.2</v>
      </c>
      <c r="D16">
        <v>12035209289.869999</v>
      </c>
      <c r="E16">
        <v>10079209857.33</v>
      </c>
      <c r="F16">
        <v>12553738699</v>
      </c>
      <c r="G16">
        <v>14012372460</v>
      </c>
      <c r="H16">
        <v>41000</v>
      </c>
      <c r="I16">
        <v>100.8</v>
      </c>
      <c r="J16">
        <v>104.9</v>
      </c>
      <c r="K16">
        <v>101.4</v>
      </c>
      <c r="L16">
        <v>19819682325000</v>
      </c>
      <c r="M16">
        <v>72916331405000</v>
      </c>
      <c r="N16">
        <v>1.197808</v>
      </c>
      <c r="O16">
        <v>13.032202</v>
      </c>
      <c r="P16" s="24">
        <v>8101.31</v>
      </c>
      <c r="Q16">
        <v>105.2</v>
      </c>
      <c r="R16" s="5">
        <v>1077.1678405938067</v>
      </c>
      <c r="S16" s="8">
        <v>1012.0149625788295</v>
      </c>
      <c r="T16" s="9">
        <v>7059328</v>
      </c>
      <c r="U16" s="9"/>
      <c r="V16" s="9"/>
      <c r="Z16">
        <v>28746.121911401242</v>
      </c>
      <c r="AH16">
        <v>17445.127196293259</v>
      </c>
      <c r="AJ16">
        <v>24221</v>
      </c>
    </row>
    <row r="17" spans="1:36" x14ac:dyDescent="0.25">
      <c r="A17" s="1">
        <v>43101</v>
      </c>
      <c r="B17">
        <v>14963772800000</v>
      </c>
      <c r="C17" s="6">
        <v>106.3</v>
      </c>
      <c r="D17">
        <v>1060063266.0000001</v>
      </c>
      <c r="E17">
        <v>1245503146.8400002</v>
      </c>
      <c r="F17">
        <v>1437317392</v>
      </c>
      <c r="G17">
        <v>1206303308</v>
      </c>
      <c r="H17">
        <v>5100</v>
      </c>
      <c r="I17">
        <v>101.4</v>
      </c>
      <c r="J17">
        <v>103</v>
      </c>
      <c r="K17">
        <v>101.8</v>
      </c>
      <c r="L17">
        <v>19448881406000</v>
      </c>
      <c r="M17">
        <v>73223219265000</v>
      </c>
      <c r="N17">
        <v>1.197808</v>
      </c>
      <c r="O17">
        <v>12.569789999999999</v>
      </c>
      <c r="P17" s="24">
        <v>8145.92</v>
      </c>
      <c r="Q17">
        <v>104.7</v>
      </c>
      <c r="R17" s="5">
        <v>1294.6154259577108</v>
      </c>
      <c r="S17" s="8">
        <v>1073.7174850925473</v>
      </c>
      <c r="T17" s="9">
        <v>5382544</v>
      </c>
      <c r="U17" s="9">
        <v>10963</v>
      </c>
      <c r="V17" s="9">
        <v>38315</v>
      </c>
      <c r="Z17">
        <v>25724.446094913641</v>
      </c>
      <c r="AA17" s="11">
        <f t="shared" ref="AA17:AA80" si="0">+Z17/Z5*100</f>
        <v>112.9</v>
      </c>
      <c r="AH17">
        <v>19110.385449137349</v>
      </c>
      <c r="AI17" s="11">
        <f>+AH17/AH5*100</f>
        <v>104.5</v>
      </c>
      <c r="AJ17">
        <v>34802</v>
      </c>
    </row>
    <row r="18" spans="1:36" x14ac:dyDescent="0.25">
      <c r="A18" s="1">
        <v>43132</v>
      </c>
      <c r="B18">
        <v>29684125079000</v>
      </c>
      <c r="C18" s="6">
        <v>105.8</v>
      </c>
      <c r="D18">
        <v>2277489932</v>
      </c>
      <c r="E18">
        <v>2128568389.1099999</v>
      </c>
      <c r="F18">
        <v>2523087106</v>
      </c>
      <c r="G18">
        <v>2576353097</v>
      </c>
      <c r="H18">
        <v>10793</v>
      </c>
      <c r="I18">
        <v>100.7</v>
      </c>
      <c r="J18">
        <v>101.2</v>
      </c>
      <c r="K18">
        <v>101</v>
      </c>
      <c r="L18">
        <v>19006959539000</v>
      </c>
      <c r="M18">
        <v>73818222837000</v>
      </c>
      <c r="N18">
        <v>1.197808</v>
      </c>
      <c r="O18">
        <v>13.583214</v>
      </c>
      <c r="P18" s="24">
        <v>8183.15</v>
      </c>
      <c r="Q18">
        <v>105.2</v>
      </c>
      <c r="R18" s="5">
        <v>1229.9949979800206</v>
      </c>
      <c r="S18" s="8">
        <v>1113.2271845739388</v>
      </c>
      <c r="T18" s="9">
        <v>5529933</v>
      </c>
      <c r="U18" s="9">
        <v>13397</v>
      </c>
      <c r="V18" s="9">
        <v>38313</v>
      </c>
      <c r="Z18">
        <v>25330.605729832911</v>
      </c>
      <c r="AA18" s="11">
        <f t="shared" si="0"/>
        <v>110.51885621525005</v>
      </c>
      <c r="AH18">
        <v>20777.948293654157</v>
      </c>
      <c r="AI18" s="11">
        <f t="shared" ref="AI18:AI81" si="1">+AH18/AH6*100</f>
        <v>104.2900311712897</v>
      </c>
      <c r="AJ18">
        <v>50379</v>
      </c>
    </row>
    <row r="19" spans="1:36" x14ac:dyDescent="0.25">
      <c r="A19" s="1">
        <v>43160</v>
      </c>
      <c r="B19">
        <v>46180700000000</v>
      </c>
      <c r="C19" s="6">
        <v>107.7</v>
      </c>
      <c r="D19">
        <v>3525544078</v>
      </c>
      <c r="E19">
        <v>2807610407.4000001</v>
      </c>
      <c r="F19">
        <v>3426878993</v>
      </c>
      <c r="G19">
        <v>3969061786</v>
      </c>
      <c r="H19">
        <v>15495</v>
      </c>
      <c r="I19">
        <v>100.5</v>
      </c>
      <c r="J19">
        <v>101.2</v>
      </c>
      <c r="K19">
        <v>101.5</v>
      </c>
      <c r="L19">
        <v>18481647619000</v>
      </c>
      <c r="M19">
        <v>73378670458000</v>
      </c>
      <c r="N19">
        <v>1.1679550000000001</v>
      </c>
      <c r="O19">
        <v>14.216589000000001</v>
      </c>
      <c r="P19" s="24">
        <v>8143.54</v>
      </c>
      <c r="Q19">
        <v>105.3</v>
      </c>
      <c r="R19" s="5">
        <v>1155.4813332356639</v>
      </c>
      <c r="S19" s="8">
        <v>1048.3701318507319</v>
      </c>
      <c r="T19" s="9">
        <v>5892953</v>
      </c>
      <c r="U19" s="9">
        <v>12619</v>
      </c>
      <c r="V19" s="9">
        <v>39362</v>
      </c>
      <c r="Z19">
        <v>30190.430718180814</v>
      </c>
      <c r="AA19" s="11">
        <f t="shared" si="0"/>
        <v>111.63524025258344</v>
      </c>
      <c r="AH19">
        <v>21718.72535876344</v>
      </c>
      <c r="AI19" s="11">
        <f t="shared" si="1"/>
        <v>101.8234807545323</v>
      </c>
      <c r="AJ19">
        <v>47568</v>
      </c>
    </row>
    <row r="20" spans="1:36" x14ac:dyDescent="0.25">
      <c r="A20" s="1">
        <v>43191</v>
      </c>
      <c r="B20">
        <v>66028791472000</v>
      </c>
      <c r="C20" s="6">
        <v>111.5</v>
      </c>
      <c r="D20">
        <v>4850953856</v>
      </c>
      <c r="E20">
        <v>3718524967.6999998</v>
      </c>
      <c r="F20">
        <v>4597469350</v>
      </c>
      <c r="G20">
        <v>5487716235</v>
      </c>
      <c r="H20">
        <v>20692</v>
      </c>
      <c r="I20">
        <v>102.7</v>
      </c>
      <c r="J20">
        <v>100.4</v>
      </c>
      <c r="K20">
        <v>104.1</v>
      </c>
      <c r="L20">
        <v>18229999785000</v>
      </c>
      <c r="M20">
        <v>74036360563000</v>
      </c>
      <c r="N20">
        <v>1.1679550000000001</v>
      </c>
      <c r="O20">
        <v>12.412191</v>
      </c>
      <c r="P20" s="24">
        <v>8087.3</v>
      </c>
      <c r="Q20">
        <v>105</v>
      </c>
      <c r="R20" s="5">
        <v>1477.698296301367</v>
      </c>
      <c r="S20" s="8">
        <v>1082.5743522862156</v>
      </c>
      <c r="T20" s="9">
        <v>6459546</v>
      </c>
      <c r="U20" s="9">
        <v>13676</v>
      </c>
      <c r="V20" s="9">
        <v>48286</v>
      </c>
      <c r="Z20">
        <v>27289.168350902768</v>
      </c>
      <c r="AA20" s="11">
        <f t="shared" si="0"/>
        <v>107.73293006817597</v>
      </c>
      <c r="AH20">
        <v>20818.191426277644</v>
      </c>
      <c r="AI20" s="11">
        <f t="shared" si="1"/>
        <v>100.22830931362878</v>
      </c>
      <c r="AJ20">
        <v>44572</v>
      </c>
    </row>
    <row r="21" spans="1:36" x14ac:dyDescent="0.25">
      <c r="A21" s="1">
        <v>43221</v>
      </c>
      <c r="B21">
        <v>84492591187000</v>
      </c>
      <c r="C21" s="6">
        <v>109.8</v>
      </c>
      <c r="D21">
        <v>6225145661</v>
      </c>
      <c r="E21">
        <v>4479411611.6999998</v>
      </c>
      <c r="F21">
        <v>5625872124</v>
      </c>
      <c r="G21">
        <v>7114900615</v>
      </c>
      <c r="H21">
        <v>25219</v>
      </c>
      <c r="I21">
        <v>102.1</v>
      </c>
      <c r="J21">
        <v>100.4</v>
      </c>
      <c r="K21">
        <v>101.8</v>
      </c>
      <c r="L21">
        <v>18626585923000</v>
      </c>
      <c r="M21">
        <v>74429347860000</v>
      </c>
      <c r="N21">
        <v>1.1679550000000001</v>
      </c>
      <c r="O21">
        <v>13.988769</v>
      </c>
      <c r="P21" s="24">
        <v>8032.43</v>
      </c>
      <c r="Q21">
        <v>105.1</v>
      </c>
      <c r="R21" s="5">
        <v>1129.7348263639844</v>
      </c>
      <c r="S21" s="8">
        <v>1009.323422803099</v>
      </c>
      <c r="T21" s="9">
        <v>6009978</v>
      </c>
      <c r="U21" s="9">
        <v>14691</v>
      </c>
      <c r="V21" s="9">
        <v>41500</v>
      </c>
      <c r="Z21">
        <v>27951.33228525312</v>
      </c>
      <c r="AA21" s="11">
        <f t="shared" si="0"/>
        <v>103.92379696508247</v>
      </c>
      <c r="AH21">
        <v>21580.006298238117</v>
      </c>
      <c r="AI21" s="11">
        <f t="shared" si="1"/>
        <v>94.520644508574662</v>
      </c>
      <c r="AJ21">
        <v>41046</v>
      </c>
    </row>
    <row r="22" spans="1:36" x14ac:dyDescent="0.25">
      <c r="A22" s="1">
        <v>43252</v>
      </c>
      <c r="B22">
        <v>102826356000000</v>
      </c>
      <c r="C22" s="6">
        <v>109.5</v>
      </c>
      <c r="D22">
        <v>7491063064</v>
      </c>
      <c r="E22">
        <v>5225519923</v>
      </c>
      <c r="F22">
        <v>6644113621</v>
      </c>
      <c r="G22">
        <v>8519124217.000001</v>
      </c>
      <c r="H22">
        <v>29385</v>
      </c>
      <c r="I22">
        <v>100.3</v>
      </c>
      <c r="J22">
        <v>99.4</v>
      </c>
      <c r="K22">
        <v>100.9</v>
      </c>
      <c r="L22">
        <v>20034819774000</v>
      </c>
      <c r="M22">
        <v>76067873842000</v>
      </c>
      <c r="N22">
        <v>1.316821</v>
      </c>
      <c r="O22">
        <v>11.807594</v>
      </c>
      <c r="P22" s="24">
        <v>7914.98</v>
      </c>
      <c r="Q22">
        <v>105.2</v>
      </c>
      <c r="R22" s="5">
        <v>1091.1050135138603</v>
      </c>
      <c r="S22" s="8">
        <v>961.38922204161872</v>
      </c>
      <c r="T22" s="9">
        <v>5854238</v>
      </c>
      <c r="U22" s="9">
        <v>13636</v>
      </c>
      <c r="V22" s="9">
        <v>41827</v>
      </c>
      <c r="Z22">
        <v>30762.278127200661</v>
      </c>
      <c r="AA22" s="11">
        <f t="shared" si="0"/>
        <v>109.31361686127026</v>
      </c>
      <c r="AH22">
        <v>26418.925639577868</v>
      </c>
      <c r="AI22" s="11">
        <f t="shared" si="1"/>
        <v>110.97346411684286</v>
      </c>
      <c r="AJ22">
        <v>34664</v>
      </c>
    </row>
    <row r="23" spans="1:36" x14ac:dyDescent="0.25">
      <c r="A23" s="1">
        <v>43282</v>
      </c>
      <c r="B23">
        <v>121634623150000</v>
      </c>
      <c r="C23" s="6">
        <v>109</v>
      </c>
      <c r="D23">
        <v>8905510728</v>
      </c>
      <c r="E23">
        <v>5836886927.3199997</v>
      </c>
      <c r="F23">
        <v>7530254553</v>
      </c>
      <c r="G23">
        <v>10162525330</v>
      </c>
      <c r="H23">
        <v>33926</v>
      </c>
      <c r="I23">
        <v>100.5</v>
      </c>
      <c r="J23">
        <v>99.5</v>
      </c>
      <c r="K23">
        <v>99.6</v>
      </c>
      <c r="L23">
        <v>21662980351000</v>
      </c>
      <c r="M23">
        <v>77266750219000</v>
      </c>
      <c r="N23">
        <v>1.316821</v>
      </c>
      <c r="O23">
        <v>11.608938</v>
      </c>
      <c r="P23" s="24">
        <v>7812.69</v>
      </c>
      <c r="Q23">
        <v>104.9</v>
      </c>
      <c r="R23" s="5">
        <v>1107.0415592912791</v>
      </c>
      <c r="S23" s="8">
        <v>1033.2130989203954</v>
      </c>
      <c r="T23" s="9">
        <v>6461837</v>
      </c>
      <c r="U23" s="9">
        <v>13470</v>
      </c>
      <c r="V23" s="9">
        <v>43534</v>
      </c>
      <c r="Z23">
        <v>31375.039456519506</v>
      </c>
      <c r="AA23" s="11">
        <f t="shared" si="0"/>
        <v>111.4910378288521</v>
      </c>
      <c r="AH23">
        <v>22901.995220166955</v>
      </c>
      <c r="AI23" s="11">
        <f t="shared" si="1"/>
        <v>93.67359603181427</v>
      </c>
      <c r="AJ23">
        <v>34905</v>
      </c>
    </row>
    <row r="24" spans="1:36" x14ac:dyDescent="0.25">
      <c r="A24" s="1">
        <v>43313</v>
      </c>
      <c r="B24">
        <v>141373989625000</v>
      </c>
      <c r="C24" s="6">
        <v>108.8</v>
      </c>
      <c r="D24">
        <v>10559538150</v>
      </c>
      <c r="E24">
        <v>6513667314.2990007</v>
      </c>
      <c r="F24">
        <v>8494933975</v>
      </c>
      <c r="G24">
        <v>12027119880</v>
      </c>
      <c r="H24">
        <v>38132</v>
      </c>
      <c r="I24">
        <v>100.4</v>
      </c>
      <c r="J24">
        <v>100.3</v>
      </c>
      <c r="K24">
        <v>101</v>
      </c>
      <c r="L24">
        <v>22507009944000</v>
      </c>
      <c r="M24">
        <v>78525015980000</v>
      </c>
      <c r="N24">
        <v>1.316821</v>
      </c>
      <c r="O24">
        <v>12.420745999999999</v>
      </c>
      <c r="P24" s="24">
        <v>7796.76</v>
      </c>
      <c r="Q24">
        <v>104.5</v>
      </c>
      <c r="R24" s="5">
        <v>1138.3584814660026</v>
      </c>
      <c r="S24" s="8">
        <v>1030.9102528788242</v>
      </c>
      <c r="T24" s="9">
        <v>6151118</v>
      </c>
      <c r="U24" s="9">
        <v>13683</v>
      </c>
      <c r="V24" s="9">
        <v>42486</v>
      </c>
      <c r="Z24">
        <v>29609.515138451934</v>
      </c>
      <c r="AA24" s="11">
        <f t="shared" si="0"/>
        <v>110.41876766100202</v>
      </c>
      <c r="AH24">
        <v>22249.699401491584</v>
      </c>
      <c r="AI24" s="11">
        <f t="shared" si="1"/>
        <v>106.66919551995655</v>
      </c>
      <c r="AJ24">
        <v>37050</v>
      </c>
    </row>
    <row r="25" spans="1:36" x14ac:dyDescent="0.25">
      <c r="A25" s="1">
        <v>43344</v>
      </c>
      <c r="B25">
        <v>161982200000000</v>
      </c>
      <c r="C25" s="6">
        <v>109.5</v>
      </c>
      <c r="D25">
        <v>12011238173.030001</v>
      </c>
      <c r="E25">
        <v>7142549608.0799999</v>
      </c>
      <c r="F25">
        <v>9399839396</v>
      </c>
      <c r="G25">
        <v>13668861473</v>
      </c>
      <c r="H25">
        <v>42796</v>
      </c>
      <c r="I25">
        <v>101.2</v>
      </c>
      <c r="J25">
        <v>101.9</v>
      </c>
      <c r="K25">
        <v>103.3</v>
      </c>
      <c r="L25">
        <v>23018697615000</v>
      </c>
      <c r="M25">
        <v>80748027194000</v>
      </c>
      <c r="N25">
        <v>1.3253490000000001</v>
      </c>
      <c r="O25">
        <v>12.399258</v>
      </c>
      <c r="P25" s="24">
        <v>7937.82</v>
      </c>
      <c r="Q25">
        <v>104.8</v>
      </c>
      <c r="R25" s="5">
        <v>1053.5510092478785</v>
      </c>
      <c r="S25" s="8">
        <v>919.25074583543028</v>
      </c>
      <c r="T25" s="9">
        <v>5826043</v>
      </c>
      <c r="U25" s="9">
        <v>12401</v>
      </c>
      <c r="V25" s="9">
        <v>46316</v>
      </c>
      <c r="Z25">
        <v>33168.01563049425</v>
      </c>
      <c r="AA25" s="11">
        <f t="shared" si="0"/>
        <v>115.94419993539189</v>
      </c>
      <c r="AH25">
        <v>28185.467527715995</v>
      </c>
      <c r="AI25" s="11">
        <f t="shared" si="1"/>
        <v>150.10367752255794</v>
      </c>
      <c r="AJ25">
        <v>27725</v>
      </c>
    </row>
    <row r="26" spans="1:36" x14ac:dyDescent="0.25">
      <c r="A26" s="1">
        <v>43374</v>
      </c>
      <c r="B26">
        <v>183447549000000</v>
      </c>
      <c r="C26" s="6">
        <v>109.4</v>
      </c>
      <c r="D26">
        <v>13652232605.030001</v>
      </c>
      <c r="E26">
        <v>7813162496.0139999</v>
      </c>
      <c r="F26">
        <v>10335859531</v>
      </c>
      <c r="G26">
        <v>15507992138</v>
      </c>
      <c r="H26">
        <v>47190</v>
      </c>
      <c r="I26">
        <v>100.5</v>
      </c>
      <c r="J26">
        <v>101.5</v>
      </c>
      <c r="K26">
        <v>100.4</v>
      </c>
      <c r="L26">
        <v>22404509741000</v>
      </c>
      <c r="M26">
        <v>81921548949000</v>
      </c>
      <c r="N26">
        <v>1.3253490000000001</v>
      </c>
      <c r="O26">
        <v>14.597655</v>
      </c>
      <c r="P26" s="24">
        <v>8194.09</v>
      </c>
      <c r="Q26">
        <v>104.8</v>
      </c>
      <c r="R26" s="5">
        <v>1042.9917819904827</v>
      </c>
      <c r="S26" s="8">
        <v>1081.461723366946</v>
      </c>
      <c r="T26" s="9">
        <v>6528803</v>
      </c>
      <c r="U26" s="9">
        <v>12340</v>
      </c>
      <c r="V26" s="9">
        <v>52556</v>
      </c>
      <c r="Z26">
        <v>30009.881085617926</v>
      </c>
      <c r="AA26" s="11">
        <f t="shared" si="0"/>
        <v>123.46246475934963</v>
      </c>
      <c r="AH26">
        <v>22908.727957050342</v>
      </c>
      <c r="AI26" s="11">
        <f t="shared" si="1"/>
        <v>91.231513250659717</v>
      </c>
      <c r="AJ26">
        <v>33407</v>
      </c>
    </row>
    <row r="27" spans="1:36" x14ac:dyDescent="0.25">
      <c r="A27" s="1">
        <v>43405</v>
      </c>
      <c r="B27">
        <v>210887871319000</v>
      </c>
      <c r="C27" s="6">
        <v>110</v>
      </c>
      <c r="D27">
        <v>15305155694.030001</v>
      </c>
      <c r="E27">
        <v>8571693095.3499994</v>
      </c>
      <c r="F27">
        <v>11346920883</v>
      </c>
      <c r="G27">
        <v>17334987008</v>
      </c>
      <c r="H27">
        <v>51123</v>
      </c>
      <c r="I27">
        <v>103.3</v>
      </c>
      <c r="J27">
        <v>102</v>
      </c>
      <c r="K27">
        <v>106.2</v>
      </c>
      <c r="L27">
        <v>22700114260000</v>
      </c>
      <c r="M27">
        <v>83647085072000</v>
      </c>
      <c r="N27">
        <v>1.3253490000000001</v>
      </c>
      <c r="O27">
        <v>15.045852</v>
      </c>
      <c r="P27" s="24">
        <v>8265.75</v>
      </c>
      <c r="Q27">
        <v>104.8</v>
      </c>
      <c r="R27" s="5">
        <v>1142.9734804649561</v>
      </c>
      <c r="S27" s="8">
        <v>1045.805339208634</v>
      </c>
      <c r="T27" s="9">
        <v>6389485</v>
      </c>
      <c r="U27" s="9">
        <v>12591</v>
      </c>
      <c r="V27" s="9">
        <v>52171</v>
      </c>
      <c r="Z27">
        <v>25583.540254463776</v>
      </c>
      <c r="AA27" s="11">
        <f t="shared" si="0"/>
        <v>127.34451122543918</v>
      </c>
      <c r="AH27">
        <v>23368.868212431935</v>
      </c>
      <c r="AI27" s="11">
        <f t="shared" si="1"/>
        <v>123.57801275702573</v>
      </c>
      <c r="AJ27">
        <v>40437</v>
      </c>
    </row>
    <row r="28" spans="1:36" x14ac:dyDescent="0.25">
      <c r="A28" s="1">
        <v>43435</v>
      </c>
      <c r="B28">
        <v>235340706979000</v>
      </c>
      <c r="C28" s="6">
        <v>110.8</v>
      </c>
      <c r="D28">
        <v>17312259013.029999</v>
      </c>
      <c r="E28">
        <v>10920699724.26</v>
      </c>
      <c r="F28">
        <v>13990745759</v>
      </c>
      <c r="G28">
        <v>19439264625</v>
      </c>
      <c r="H28">
        <v>55000</v>
      </c>
      <c r="I28">
        <v>101.3</v>
      </c>
      <c r="J28">
        <v>102.3</v>
      </c>
      <c r="K28">
        <v>112.9</v>
      </c>
      <c r="L28">
        <v>21908329680000</v>
      </c>
      <c r="M28">
        <v>81876493387000</v>
      </c>
      <c r="N28">
        <v>1.278716</v>
      </c>
      <c r="O28">
        <v>16.070084999999999</v>
      </c>
      <c r="P28" s="24">
        <v>8320.84</v>
      </c>
      <c r="Q28">
        <v>104.7</v>
      </c>
      <c r="R28" s="5">
        <v>1158.2891150147964</v>
      </c>
      <c r="S28" s="8">
        <v>1029.0168745596977</v>
      </c>
      <c r="T28" s="9">
        <v>7014670</v>
      </c>
      <c r="U28" s="9">
        <v>18620</v>
      </c>
      <c r="V28" s="9">
        <v>59455</v>
      </c>
      <c r="Z28">
        <v>36537.189614763032</v>
      </c>
      <c r="AA28" s="11">
        <f t="shared" si="0"/>
        <v>127.10302185239016</v>
      </c>
      <c r="AH28">
        <v>22162.152107359103</v>
      </c>
      <c r="AI28" s="11">
        <f t="shared" si="1"/>
        <v>127.03921191281493</v>
      </c>
      <c r="AJ28">
        <v>36548</v>
      </c>
    </row>
    <row r="29" spans="1:36" x14ac:dyDescent="0.25">
      <c r="A29" s="1">
        <v>43466</v>
      </c>
      <c r="B29">
        <v>22233560757000</v>
      </c>
      <c r="C29" s="6">
        <v>105.03209099999999</v>
      </c>
      <c r="D29">
        <v>1514319033</v>
      </c>
      <c r="E29">
        <v>1314632120.711</v>
      </c>
      <c r="F29">
        <v>1515879811</v>
      </c>
      <c r="G29">
        <v>1682368194</v>
      </c>
      <c r="H29">
        <v>13200</v>
      </c>
      <c r="I29">
        <v>100.5</v>
      </c>
      <c r="J29">
        <v>101.77</v>
      </c>
      <c r="K29">
        <v>108.8</v>
      </c>
      <c r="L29">
        <v>22164207554000</v>
      </c>
      <c r="M29">
        <v>83565547283000</v>
      </c>
      <c r="N29">
        <v>1.278716</v>
      </c>
      <c r="O29">
        <v>16.716252000000001</v>
      </c>
      <c r="P29" s="25">
        <v>8355.1200000000008</v>
      </c>
      <c r="Q29">
        <v>102.9</v>
      </c>
      <c r="R29" s="5">
        <v>1029.7519137053876</v>
      </c>
      <c r="S29" s="8">
        <v>886.94982726058186</v>
      </c>
      <c r="T29" s="9">
        <v>4966533</v>
      </c>
      <c r="U29" s="9">
        <v>11159</v>
      </c>
      <c r="V29" s="9">
        <v>49906</v>
      </c>
      <c r="W29">
        <v>103.2</v>
      </c>
      <c r="Z29">
        <v>27010.668399659324</v>
      </c>
      <c r="AA29" s="11">
        <f t="shared" si="0"/>
        <v>105</v>
      </c>
      <c r="AD29" s="16">
        <v>13555885.888009047</v>
      </c>
      <c r="AH29">
        <v>20085.015107043353</v>
      </c>
      <c r="AI29" s="11">
        <f t="shared" si="1"/>
        <v>105.1</v>
      </c>
      <c r="AJ29">
        <v>33545</v>
      </c>
    </row>
    <row r="30" spans="1:36" x14ac:dyDescent="0.25">
      <c r="A30" s="1">
        <v>43497</v>
      </c>
      <c r="B30">
        <v>44341393303000</v>
      </c>
      <c r="C30" s="6">
        <v>105.072709</v>
      </c>
      <c r="D30">
        <v>3049449816</v>
      </c>
      <c r="E30">
        <v>2333840199.9390001</v>
      </c>
      <c r="F30">
        <v>2746370534</v>
      </c>
      <c r="G30">
        <v>3363622305</v>
      </c>
      <c r="H30">
        <v>23900</v>
      </c>
      <c r="I30">
        <v>100.82</v>
      </c>
      <c r="J30">
        <v>101.78</v>
      </c>
      <c r="K30">
        <v>101</v>
      </c>
      <c r="L30">
        <v>21325461445000</v>
      </c>
      <c r="M30">
        <v>82509668669000</v>
      </c>
      <c r="N30">
        <v>1.278716</v>
      </c>
      <c r="O30">
        <v>17.624241999999999</v>
      </c>
      <c r="P30" s="25">
        <v>8395.41</v>
      </c>
      <c r="Q30">
        <v>103.6</v>
      </c>
      <c r="R30" s="5">
        <v>944.41264626845361</v>
      </c>
      <c r="S30" s="8">
        <v>1031.5926859711606</v>
      </c>
      <c r="T30" s="9">
        <v>5416883</v>
      </c>
      <c r="U30" s="9">
        <v>13615</v>
      </c>
      <c r="V30" s="9">
        <v>54897</v>
      </c>
      <c r="W30">
        <v>103.3</v>
      </c>
      <c r="Z30">
        <v>26647.93637066321</v>
      </c>
      <c r="AA30" s="11">
        <f t="shared" si="0"/>
        <v>105.20054930734966</v>
      </c>
      <c r="AD30" s="16">
        <v>15301570.143043648</v>
      </c>
      <c r="AH30">
        <v>21678.827168607841</v>
      </c>
      <c r="AI30" s="11">
        <f t="shared" si="1"/>
        <v>104.3357450996681</v>
      </c>
      <c r="AJ30">
        <v>33792</v>
      </c>
    </row>
    <row r="31" spans="1:36" x14ac:dyDescent="0.25">
      <c r="A31" s="1">
        <v>43525</v>
      </c>
      <c r="B31">
        <v>66555264458000.008</v>
      </c>
      <c r="C31" s="6">
        <v>105.17855900000001</v>
      </c>
      <c r="D31">
        <v>4791008990.8400002</v>
      </c>
      <c r="E31">
        <v>3114266986.8660002</v>
      </c>
      <c r="F31">
        <v>3788245023</v>
      </c>
      <c r="G31">
        <v>5276294744</v>
      </c>
      <c r="H31">
        <v>31600</v>
      </c>
      <c r="I31">
        <v>101.19</v>
      </c>
      <c r="J31">
        <v>101.2</v>
      </c>
      <c r="K31">
        <v>100</v>
      </c>
      <c r="L31">
        <v>21197696792000</v>
      </c>
      <c r="M31">
        <v>82910303070000</v>
      </c>
      <c r="N31">
        <v>1.4459599999999999</v>
      </c>
      <c r="O31">
        <v>17.179955</v>
      </c>
      <c r="P31" s="25">
        <v>8386.07</v>
      </c>
      <c r="Q31">
        <v>104.2</v>
      </c>
      <c r="R31" s="5">
        <v>999.53269241031808</v>
      </c>
      <c r="S31" s="8">
        <v>1035.3770571415873</v>
      </c>
      <c r="T31" s="9">
        <v>5655629</v>
      </c>
      <c r="U31" s="9">
        <v>13468</v>
      </c>
      <c r="V31" s="9">
        <v>45481</v>
      </c>
      <c r="W31">
        <v>103.3</v>
      </c>
      <c r="Z31">
        <v>32287.53846659778</v>
      </c>
      <c r="AA31" s="11">
        <f t="shared" si="0"/>
        <v>106.94626641134364</v>
      </c>
      <c r="AD31" s="16">
        <v>16069647.968406584</v>
      </c>
      <c r="AH31">
        <v>23636.29068658804</v>
      </c>
      <c r="AI31" s="11">
        <f t="shared" si="1"/>
        <v>108.82908778553558</v>
      </c>
      <c r="AJ31">
        <v>31459</v>
      </c>
    </row>
    <row r="32" spans="1:36" x14ac:dyDescent="0.25">
      <c r="A32" s="1">
        <v>43556</v>
      </c>
      <c r="B32">
        <v>94096768577000</v>
      </c>
      <c r="C32" s="6">
        <v>105.248992</v>
      </c>
      <c r="D32">
        <v>6517137649.1199999</v>
      </c>
      <c r="E32">
        <v>3970001024.9239998</v>
      </c>
      <c r="F32">
        <v>4941018526</v>
      </c>
      <c r="G32">
        <v>7179222186</v>
      </c>
      <c r="H32">
        <v>40577</v>
      </c>
      <c r="I32">
        <v>100.55</v>
      </c>
      <c r="J32">
        <v>101.01</v>
      </c>
      <c r="K32">
        <v>98.7</v>
      </c>
      <c r="L32">
        <v>21576217023000</v>
      </c>
      <c r="M32">
        <v>83001685947000</v>
      </c>
      <c r="N32">
        <v>1.4459599999999999</v>
      </c>
      <c r="O32">
        <v>16.503261999999999</v>
      </c>
      <c r="P32" s="25">
        <v>8440.32</v>
      </c>
      <c r="Q32">
        <v>104.1</v>
      </c>
      <c r="R32" s="5">
        <v>977.91561259218304</v>
      </c>
      <c r="S32" s="8">
        <v>1078.6999642565743</v>
      </c>
      <c r="T32" s="9">
        <v>6257295</v>
      </c>
      <c r="U32" s="9">
        <v>16201</v>
      </c>
      <c r="V32" s="9">
        <v>52959</v>
      </c>
      <c r="W32">
        <v>103.3</v>
      </c>
      <c r="Z32">
        <v>30733.049784374623</v>
      </c>
      <c r="AA32" s="11">
        <f t="shared" si="0"/>
        <v>112.61995744680848</v>
      </c>
      <c r="AD32" s="16">
        <v>16451659.207759066</v>
      </c>
      <c r="AH32">
        <v>23025.524043668967</v>
      </c>
      <c r="AI32" s="11">
        <f t="shared" si="1"/>
        <v>110.6029028756318</v>
      </c>
      <c r="AJ32">
        <v>36839</v>
      </c>
    </row>
    <row r="33" spans="1:36" x14ac:dyDescent="0.25">
      <c r="A33" s="1">
        <v>43586</v>
      </c>
      <c r="B33">
        <v>116932595868000</v>
      </c>
      <c r="C33" s="6">
        <v>105.412453</v>
      </c>
      <c r="D33">
        <v>8459548731.1199999</v>
      </c>
      <c r="E33">
        <v>4844735058.441</v>
      </c>
      <c r="F33">
        <v>6096710565</v>
      </c>
      <c r="G33">
        <v>9343453115</v>
      </c>
      <c r="H33">
        <v>49376</v>
      </c>
      <c r="I33">
        <v>101.47</v>
      </c>
      <c r="J33">
        <v>100.55</v>
      </c>
      <c r="K33">
        <v>100.8</v>
      </c>
      <c r="L33">
        <v>22358538565000</v>
      </c>
      <c r="M33">
        <v>86254238931000</v>
      </c>
      <c r="N33">
        <v>1.4459599999999999</v>
      </c>
      <c r="O33">
        <v>17.254892999999999</v>
      </c>
      <c r="P33" s="25">
        <v>8457.82</v>
      </c>
      <c r="Q33">
        <v>103.7</v>
      </c>
      <c r="R33" s="5">
        <v>981.46622685457658</v>
      </c>
      <c r="S33" s="8">
        <v>975.01343917953909</v>
      </c>
      <c r="T33" s="9">
        <v>6206714</v>
      </c>
      <c r="U33" s="9">
        <v>15119</v>
      </c>
      <c r="V33" s="9">
        <v>50019</v>
      </c>
      <c r="W33">
        <v>103.5</v>
      </c>
      <c r="Z33">
        <v>32073.19435077205</v>
      </c>
      <c r="AA33" s="11">
        <f t="shared" si="0"/>
        <v>114.74656743891092</v>
      </c>
      <c r="AD33" s="16">
        <v>18179985.673418801</v>
      </c>
      <c r="AH33">
        <v>24927.841736015664</v>
      </c>
      <c r="AI33" s="11">
        <f t="shared" si="1"/>
        <v>115.51359805697035</v>
      </c>
      <c r="AJ33">
        <v>32931</v>
      </c>
    </row>
    <row r="34" spans="1:36" x14ac:dyDescent="0.25">
      <c r="A34" s="1">
        <v>43617</v>
      </c>
      <c r="B34">
        <v>142813656368000</v>
      </c>
      <c r="C34" s="6">
        <v>105.445198</v>
      </c>
      <c r="D34">
        <v>10175331797.040001</v>
      </c>
      <c r="E34">
        <v>6539707558.3760004</v>
      </c>
      <c r="F34">
        <v>8120463135</v>
      </c>
      <c r="G34">
        <v>11263350182</v>
      </c>
      <c r="H34">
        <v>56127</v>
      </c>
      <c r="I34">
        <v>100.7</v>
      </c>
      <c r="J34">
        <v>99.2</v>
      </c>
      <c r="K34">
        <v>100.1</v>
      </c>
      <c r="L34">
        <v>23878287290000</v>
      </c>
      <c r="M34">
        <v>90954342138000</v>
      </c>
      <c r="N34">
        <v>1.474764</v>
      </c>
      <c r="O34">
        <v>16.627904999999998</v>
      </c>
      <c r="P34" s="25">
        <v>8526.92</v>
      </c>
      <c r="Q34">
        <v>104.3</v>
      </c>
      <c r="R34" s="5">
        <v>972.69477344881943</v>
      </c>
      <c r="S34" s="8">
        <v>938.34147022329023</v>
      </c>
      <c r="T34" s="9">
        <v>5548084</v>
      </c>
      <c r="U34" s="9">
        <v>14268</v>
      </c>
      <c r="V34" s="9">
        <v>47858</v>
      </c>
      <c r="W34">
        <v>103.5</v>
      </c>
      <c r="Z34">
        <v>35334.834293959022</v>
      </c>
      <c r="AA34" s="11">
        <f t="shared" si="0"/>
        <v>114.86416626184526</v>
      </c>
      <c r="AD34" s="16">
        <v>19579164.065250382</v>
      </c>
      <c r="AH34">
        <v>30890.618993728964</v>
      </c>
      <c r="AI34" s="11">
        <f t="shared" si="1"/>
        <v>116.92609841579669</v>
      </c>
      <c r="AJ34">
        <v>28100</v>
      </c>
    </row>
    <row r="35" spans="1:36" x14ac:dyDescent="0.25">
      <c r="A35" s="1">
        <v>43647</v>
      </c>
      <c r="B35">
        <v>170054380047000</v>
      </c>
      <c r="C35" s="6">
        <v>105.33459999999999</v>
      </c>
      <c r="D35">
        <v>12357429324.68</v>
      </c>
      <c r="E35">
        <v>8632675611.6149998</v>
      </c>
      <c r="F35">
        <v>10529076244</v>
      </c>
      <c r="G35">
        <v>13674321312</v>
      </c>
      <c r="H35">
        <v>62726</v>
      </c>
      <c r="I35">
        <v>100.23</v>
      </c>
      <c r="J35">
        <v>99.45</v>
      </c>
      <c r="K35">
        <v>100.7</v>
      </c>
      <c r="L35">
        <v>25361442916000</v>
      </c>
      <c r="M35">
        <v>91963384261000</v>
      </c>
      <c r="N35">
        <v>1.474764</v>
      </c>
      <c r="O35">
        <v>17.141151000000001</v>
      </c>
      <c r="P35" s="25">
        <v>8594.5300000000007</v>
      </c>
      <c r="Q35">
        <v>104.4</v>
      </c>
      <c r="R35" s="5">
        <v>1012.0500795023528</v>
      </c>
      <c r="S35" s="8">
        <v>1065.1255748205683</v>
      </c>
      <c r="T35" s="9">
        <v>6079209</v>
      </c>
      <c r="U35" s="9">
        <v>18899</v>
      </c>
      <c r="V35" s="9">
        <v>50992</v>
      </c>
      <c r="W35">
        <v>103.4</v>
      </c>
      <c r="Z35">
        <v>35437.954801682245</v>
      </c>
      <c r="AA35" s="11">
        <f t="shared" si="0"/>
        <v>112.94951469556955</v>
      </c>
      <c r="AD35" s="16">
        <v>17303935.566401836</v>
      </c>
      <c r="AH35">
        <v>25797.72408742976</v>
      </c>
      <c r="AI35" s="11">
        <f t="shared" si="1"/>
        <v>112.64400258328975</v>
      </c>
      <c r="AJ35">
        <v>31084</v>
      </c>
    </row>
    <row r="36" spans="1:36" x14ac:dyDescent="0.25">
      <c r="A36" s="1">
        <v>43678</v>
      </c>
      <c r="B36">
        <v>200621311080000</v>
      </c>
      <c r="C36" s="6">
        <v>105.296199</v>
      </c>
      <c r="D36">
        <v>14388775287.84</v>
      </c>
      <c r="E36">
        <v>9881004162.4040012</v>
      </c>
      <c r="F36">
        <v>12106163777</v>
      </c>
      <c r="G36">
        <v>15985246596</v>
      </c>
      <c r="H36">
        <v>68654</v>
      </c>
      <c r="I36">
        <v>105.6</v>
      </c>
      <c r="J36">
        <v>102.17</v>
      </c>
      <c r="K36">
        <v>109.5</v>
      </c>
      <c r="L36">
        <v>25387385880000</v>
      </c>
      <c r="M36">
        <v>94033790303000</v>
      </c>
      <c r="N36">
        <v>1.474764</v>
      </c>
      <c r="O36">
        <v>17.578852999999999</v>
      </c>
      <c r="P36" s="25">
        <v>9029.7999999999993</v>
      </c>
      <c r="Q36">
        <v>104.8</v>
      </c>
      <c r="R36" s="5">
        <v>989.07589502650035</v>
      </c>
      <c r="S36" s="8">
        <v>986.29434195384806</v>
      </c>
      <c r="T36" s="9">
        <v>5772637</v>
      </c>
      <c r="U36" s="9">
        <v>16655</v>
      </c>
      <c r="V36" s="9">
        <v>60454</v>
      </c>
      <c r="W36">
        <v>103.4</v>
      </c>
      <c r="Z36">
        <v>30998.504576354608</v>
      </c>
      <c r="AA36" s="11">
        <f t="shared" si="0"/>
        <v>104.6910239205467</v>
      </c>
      <c r="AD36" s="16">
        <v>16692287.248075197</v>
      </c>
      <c r="AH36">
        <v>24536.99489677581</v>
      </c>
      <c r="AI36" s="11">
        <f t="shared" si="1"/>
        <v>110.28011863895514</v>
      </c>
      <c r="AJ36">
        <v>30301</v>
      </c>
    </row>
    <row r="37" spans="1:36" x14ac:dyDescent="0.25">
      <c r="A37" s="1">
        <v>43709</v>
      </c>
      <c r="B37">
        <v>228436930171000</v>
      </c>
      <c r="C37" s="6">
        <v>105.142895</v>
      </c>
      <c r="D37">
        <v>16178151341.639999</v>
      </c>
      <c r="E37">
        <v>10687996537.246</v>
      </c>
      <c r="F37">
        <v>13268698962</v>
      </c>
      <c r="G37">
        <v>17979324680</v>
      </c>
      <c r="H37">
        <v>75635</v>
      </c>
      <c r="I37">
        <v>102.01</v>
      </c>
      <c r="J37">
        <v>101.15</v>
      </c>
      <c r="K37">
        <v>103.3</v>
      </c>
      <c r="L37">
        <v>25587260654000</v>
      </c>
      <c r="M37">
        <v>96142180241000</v>
      </c>
      <c r="N37">
        <v>1.3140400000000001</v>
      </c>
      <c r="O37">
        <v>17.411090000000002</v>
      </c>
      <c r="P37" s="25">
        <v>9401.2999999999993</v>
      </c>
      <c r="Q37">
        <v>104.7</v>
      </c>
      <c r="R37" s="5">
        <v>1082.0974938821969</v>
      </c>
      <c r="S37" s="8">
        <v>1184.0891329629915</v>
      </c>
      <c r="T37" s="9">
        <v>5641116</v>
      </c>
      <c r="U37" s="9">
        <v>13680</v>
      </c>
      <c r="V37" s="9">
        <v>48681</v>
      </c>
      <c r="W37">
        <v>103.2</v>
      </c>
      <c r="Z37">
        <v>34234.889461924024</v>
      </c>
      <c r="AA37" s="11">
        <f t="shared" si="0"/>
        <v>103.21657419399219</v>
      </c>
      <c r="AD37" s="16">
        <v>15810475.702057617</v>
      </c>
      <c r="AH37">
        <v>29406.237885839004</v>
      </c>
      <c r="AI37" s="11">
        <f t="shared" si="1"/>
        <v>104.33120492651958</v>
      </c>
      <c r="AJ37">
        <v>27609</v>
      </c>
    </row>
    <row r="38" spans="1:36" x14ac:dyDescent="0.25">
      <c r="A38" s="1">
        <v>43739</v>
      </c>
      <c r="B38">
        <v>258126459500000</v>
      </c>
      <c r="C38" s="6">
        <v>105.223378</v>
      </c>
      <c r="D38">
        <v>17926528766.940002</v>
      </c>
      <c r="E38">
        <v>11503319451.327</v>
      </c>
      <c r="F38">
        <v>14393934586</v>
      </c>
      <c r="G38">
        <v>19922371204</v>
      </c>
      <c r="H38">
        <v>82622</v>
      </c>
      <c r="I38">
        <v>100.43</v>
      </c>
      <c r="J38">
        <v>101.87</v>
      </c>
      <c r="K38">
        <v>102</v>
      </c>
      <c r="L38">
        <v>25071459476000</v>
      </c>
      <c r="M38">
        <v>95136395850000</v>
      </c>
      <c r="N38">
        <v>1.3140400000000001</v>
      </c>
      <c r="O38">
        <v>17.846031</v>
      </c>
      <c r="P38" s="25">
        <v>9447.6299999999992</v>
      </c>
      <c r="Q38">
        <v>104.7</v>
      </c>
      <c r="R38" s="5">
        <v>1107.1493187828073</v>
      </c>
      <c r="S38" s="8">
        <v>1127.9021290263645</v>
      </c>
      <c r="T38" s="9">
        <v>6364071</v>
      </c>
      <c r="U38" s="9">
        <v>15800</v>
      </c>
      <c r="V38" s="9">
        <v>53899</v>
      </c>
      <c r="W38">
        <v>103.3</v>
      </c>
      <c r="Z38">
        <v>31135.185861873324</v>
      </c>
      <c r="AA38" s="11">
        <f t="shared" si="0"/>
        <v>103.74978085732801</v>
      </c>
      <c r="AD38" s="16">
        <v>15247251.70891027</v>
      </c>
      <c r="AH38">
        <v>24205.519763458091</v>
      </c>
      <c r="AI38" s="11">
        <f t="shared" si="1"/>
        <v>105.66068883806641</v>
      </c>
      <c r="AJ38">
        <v>41361</v>
      </c>
    </row>
    <row r="39" spans="1:36" x14ac:dyDescent="0.25">
      <c r="A39" s="1">
        <v>43770</v>
      </c>
      <c r="B39">
        <v>288523447871000</v>
      </c>
      <c r="C39" s="6">
        <v>105.05921600000001</v>
      </c>
      <c r="D39">
        <v>19812882580.490002</v>
      </c>
      <c r="E39">
        <v>12686410662.416</v>
      </c>
      <c r="F39">
        <v>15854767125</v>
      </c>
      <c r="G39">
        <v>22014554305</v>
      </c>
      <c r="H39">
        <v>89923</v>
      </c>
      <c r="I39">
        <v>100.57</v>
      </c>
      <c r="J39">
        <v>102.06</v>
      </c>
      <c r="K39">
        <v>101.3</v>
      </c>
      <c r="L39">
        <v>25543312054000</v>
      </c>
      <c r="M39">
        <v>96856031927000</v>
      </c>
      <c r="N39">
        <v>1.3140400000000001</v>
      </c>
      <c r="O39">
        <v>17.936824000000001</v>
      </c>
      <c r="P39" s="25">
        <v>9484.66</v>
      </c>
      <c r="Q39">
        <v>104.7</v>
      </c>
      <c r="R39" s="5">
        <v>1135.2378312598585</v>
      </c>
      <c r="S39" s="8">
        <v>1059.2291796159557</v>
      </c>
      <c r="T39" s="9">
        <v>5847177</v>
      </c>
      <c r="U39" s="9">
        <v>15965</v>
      </c>
      <c r="V39" s="9">
        <v>58188</v>
      </c>
      <c r="W39">
        <v>103.2</v>
      </c>
      <c r="Z39">
        <v>27320.630840904716</v>
      </c>
      <c r="AA39" s="11">
        <f t="shared" si="0"/>
        <v>106.78987571369389</v>
      </c>
      <c r="AD39" s="16">
        <v>16916738.074780282</v>
      </c>
      <c r="AH39">
        <v>25024.368610416474</v>
      </c>
      <c r="AI39" s="11">
        <f t="shared" si="1"/>
        <v>107.08421299198321</v>
      </c>
      <c r="AJ39">
        <v>60931</v>
      </c>
    </row>
    <row r="40" spans="1:36" x14ac:dyDescent="0.25">
      <c r="A40" s="1">
        <v>43800</v>
      </c>
      <c r="B40">
        <v>322535766459000</v>
      </c>
      <c r="C40" s="6">
        <v>105</v>
      </c>
      <c r="D40">
        <v>21866454706.5</v>
      </c>
      <c r="E40">
        <v>14023839380.132999</v>
      </c>
      <c r="F40">
        <v>17458687777</v>
      </c>
      <c r="G40">
        <v>24292321305</v>
      </c>
      <c r="H40">
        <v>96743</v>
      </c>
      <c r="I40">
        <v>100.31</v>
      </c>
      <c r="J40">
        <v>102.08</v>
      </c>
      <c r="K40">
        <v>99.5</v>
      </c>
      <c r="L40">
        <v>23976062399000</v>
      </c>
      <c r="M40">
        <v>93908681572000</v>
      </c>
      <c r="N40">
        <v>1.4784999999999999</v>
      </c>
      <c r="O40">
        <v>17.524712999999998</v>
      </c>
      <c r="P40" s="25">
        <v>9521.8700000000008</v>
      </c>
      <c r="Q40">
        <v>105</v>
      </c>
      <c r="R40" s="5">
        <v>1641.7162388757567</v>
      </c>
      <c r="S40" s="8">
        <v>1482.9855246363404</v>
      </c>
      <c r="T40" s="9">
        <v>6535581</v>
      </c>
      <c r="U40" s="9">
        <v>28623</v>
      </c>
      <c r="V40" s="9">
        <v>56320</v>
      </c>
      <c r="W40">
        <v>103</v>
      </c>
      <c r="Z40">
        <v>44367.287018830342</v>
      </c>
      <c r="AA40" s="11">
        <f t="shared" si="0"/>
        <v>121.43048627063402</v>
      </c>
      <c r="AD40" s="16">
        <v>18439040.506597027</v>
      </c>
      <c r="AH40">
        <v>28662.066076725729</v>
      </c>
      <c r="AI40" s="11">
        <f t="shared" si="1"/>
        <v>129.32889341197276</v>
      </c>
      <c r="AJ40">
        <v>47194</v>
      </c>
    </row>
    <row r="41" spans="1:36" x14ac:dyDescent="0.25">
      <c r="A41" s="1">
        <v>43831</v>
      </c>
      <c r="B41">
        <v>26259414895000</v>
      </c>
      <c r="C41" s="6">
        <v>100.33812</v>
      </c>
      <c r="D41">
        <v>1473979023</v>
      </c>
      <c r="E41">
        <v>1057828449.9220001</v>
      </c>
      <c r="F41">
        <v>1286300000</v>
      </c>
      <c r="G41">
        <v>1660140566</v>
      </c>
      <c r="H41">
        <v>8614</v>
      </c>
      <c r="I41">
        <v>100.32</v>
      </c>
      <c r="J41">
        <v>100.67</v>
      </c>
      <c r="K41">
        <v>100.9</v>
      </c>
      <c r="L41">
        <v>24246010138000</v>
      </c>
      <c r="M41">
        <v>95166908668000</v>
      </c>
      <c r="N41">
        <v>1.8265</v>
      </c>
      <c r="O41">
        <v>18.680847</v>
      </c>
      <c r="P41" s="25">
        <v>9533.5</v>
      </c>
      <c r="Q41">
        <v>104.4</v>
      </c>
      <c r="R41" s="5">
        <v>1790.9092841570866</v>
      </c>
      <c r="S41" s="8">
        <v>934.16731569145691</v>
      </c>
      <c r="T41" s="9">
        <v>5216536</v>
      </c>
      <c r="U41" s="9">
        <v>15379</v>
      </c>
      <c r="V41" s="9">
        <v>47471</v>
      </c>
      <c r="W41">
        <v>98.4</v>
      </c>
      <c r="Z41">
        <v>27091.7004048583</v>
      </c>
      <c r="AA41" s="11">
        <f t="shared" si="0"/>
        <v>100.29999999999998</v>
      </c>
      <c r="AB41">
        <v>107.5</v>
      </c>
      <c r="AC41">
        <v>108.8</v>
      </c>
      <c r="AD41" s="16">
        <v>14748803.846153844</v>
      </c>
      <c r="AH41">
        <v>20948.670756646217</v>
      </c>
      <c r="AI41" s="11">
        <f t="shared" si="1"/>
        <v>104.3</v>
      </c>
      <c r="AJ41">
        <v>46933</v>
      </c>
    </row>
    <row r="42" spans="1:36" x14ac:dyDescent="0.25">
      <c r="A42" s="1">
        <v>43862</v>
      </c>
      <c r="B42">
        <v>51534141553000</v>
      </c>
      <c r="C42" s="6">
        <v>101.52279</v>
      </c>
      <c r="D42">
        <v>2904801852.4000001</v>
      </c>
      <c r="E42">
        <v>2167002005.2119999</v>
      </c>
      <c r="F42">
        <v>2631300000</v>
      </c>
      <c r="G42">
        <v>3288770000</v>
      </c>
      <c r="H42">
        <v>17235</v>
      </c>
      <c r="I42">
        <v>100.32</v>
      </c>
      <c r="J42">
        <v>100.99</v>
      </c>
      <c r="K42">
        <v>100.2</v>
      </c>
      <c r="L42">
        <v>22513992655000</v>
      </c>
      <c r="M42">
        <v>94437729932000</v>
      </c>
      <c r="N42">
        <v>2.066786</v>
      </c>
      <c r="O42">
        <v>18.333079999999999</v>
      </c>
      <c r="P42" s="25">
        <v>9537.49</v>
      </c>
      <c r="Q42">
        <v>104.9</v>
      </c>
      <c r="R42" s="5">
        <v>1119.3824517645216</v>
      </c>
      <c r="S42" s="8">
        <v>1015.5450440983907</v>
      </c>
      <c r="T42" s="9">
        <v>5436250</v>
      </c>
      <c r="U42" s="9">
        <v>16891</v>
      </c>
      <c r="V42" s="9">
        <v>57511</v>
      </c>
      <c r="W42">
        <v>99.6</v>
      </c>
      <c r="Z42">
        <v>27587.085819542219</v>
      </c>
      <c r="AA42" s="11">
        <f t="shared" si="0"/>
        <v>103.52428584268507</v>
      </c>
      <c r="AB42">
        <v>108.5</v>
      </c>
      <c r="AC42">
        <v>108.1</v>
      </c>
      <c r="AD42" s="16">
        <v>16576429.226450671</v>
      </c>
      <c r="AH42">
        <v>21995.503915995163</v>
      </c>
      <c r="AI42" s="11">
        <f t="shared" si="1"/>
        <v>101.46076512776432</v>
      </c>
      <c r="AJ42">
        <v>46963</v>
      </c>
    </row>
    <row r="43" spans="1:36" x14ac:dyDescent="0.25">
      <c r="A43" s="1">
        <v>43891</v>
      </c>
      <c r="B43">
        <v>81904900000000</v>
      </c>
      <c r="C43" s="6">
        <v>101.863951</v>
      </c>
      <c r="D43">
        <v>4310925677.8499994</v>
      </c>
      <c r="E43">
        <v>2746035965.243</v>
      </c>
      <c r="F43">
        <v>3374744812</v>
      </c>
      <c r="G43">
        <v>4765682976</v>
      </c>
      <c r="H43">
        <v>24084</v>
      </c>
      <c r="I43">
        <v>100.81</v>
      </c>
      <c r="J43">
        <v>101.47</v>
      </c>
      <c r="K43">
        <v>100.4</v>
      </c>
      <c r="L43">
        <v>22226546295000</v>
      </c>
      <c r="M43">
        <v>92936780063000</v>
      </c>
      <c r="N43">
        <v>2.229673</v>
      </c>
      <c r="O43">
        <v>18.787172000000002</v>
      </c>
      <c r="P43" s="25">
        <v>9518.2800000000007</v>
      </c>
      <c r="Q43">
        <v>104.3</v>
      </c>
      <c r="R43" s="5">
        <v>1164.4415128521284</v>
      </c>
      <c r="S43" s="8">
        <v>1038.2395513270449</v>
      </c>
      <c r="T43" s="9">
        <v>5330963</v>
      </c>
      <c r="U43" s="9">
        <v>15058</v>
      </c>
      <c r="V43" s="9">
        <v>37634</v>
      </c>
      <c r="W43">
        <v>99.9</v>
      </c>
      <c r="Z43">
        <v>33245.970261641945</v>
      </c>
      <c r="AA43" s="11">
        <f t="shared" si="0"/>
        <v>102.96842633586232</v>
      </c>
      <c r="AB43">
        <v>100.5</v>
      </c>
      <c r="AC43">
        <v>106.6</v>
      </c>
      <c r="AD43" s="16">
        <v>16791912.903475132</v>
      </c>
      <c r="AH43">
        <v>26983.465270126337</v>
      </c>
      <c r="AI43" s="11">
        <f t="shared" si="1"/>
        <v>114.16116694417533</v>
      </c>
      <c r="AJ43">
        <v>58361</v>
      </c>
    </row>
    <row r="44" spans="1:36" x14ac:dyDescent="0.25">
      <c r="A44" s="1">
        <v>43922</v>
      </c>
      <c r="B44">
        <v>107420291361000</v>
      </c>
      <c r="C44" s="6">
        <v>99.533057999999997</v>
      </c>
      <c r="D44">
        <v>5884558098.3999996</v>
      </c>
      <c r="E44">
        <v>3667571678.474</v>
      </c>
      <c r="F44">
        <v>4416893950</v>
      </c>
      <c r="G44">
        <v>6406269754</v>
      </c>
      <c r="H44">
        <v>29110</v>
      </c>
      <c r="I44">
        <v>100.29</v>
      </c>
      <c r="J44">
        <v>102.12</v>
      </c>
      <c r="K44">
        <v>99.9</v>
      </c>
      <c r="L44">
        <v>23852398158000</v>
      </c>
      <c r="M44">
        <v>94887044902000</v>
      </c>
      <c r="N44">
        <v>2.205241</v>
      </c>
      <c r="O44">
        <v>19.26586</v>
      </c>
      <c r="P44" s="25">
        <v>9860.11</v>
      </c>
      <c r="Q44">
        <v>101.2</v>
      </c>
      <c r="R44" s="5">
        <v>963.29388122573801</v>
      </c>
      <c r="S44" s="8">
        <v>859.40185191493674</v>
      </c>
      <c r="T44" s="9">
        <v>3767514</v>
      </c>
      <c r="U44" s="9">
        <v>2098</v>
      </c>
      <c r="V44" s="9">
        <v>13889</v>
      </c>
      <c r="W44">
        <v>97.6</v>
      </c>
      <c r="Z44">
        <v>28265.435627325362</v>
      </c>
      <c r="AA44" s="11">
        <f t="shared" si="0"/>
        <v>91.970812612603609</v>
      </c>
      <c r="AB44">
        <v>92.7</v>
      </c>
      <c r="AC44">
        <v>100</v>
      </c>
      <c r="AD44" s="16">
        <v>13475381.328730689</v>
      </c>
      <c r="AF44" s="15">
        <v>34.843120574951172</v>
      </c>
      <c r="AG44">
        <v>43.273998260498047</v>
      </c>
      <c r="AH44">
        <v>22998.290334703157</v>
      </c>
      <c r="AI44" s="11">
        <f t="shared" si="1"/>
        <v>99.881723825637323</v>
      </c>
      <c r="AJ44">
        <v>51027</v>
      </c>
    </row>
    <row r="45" spans="1:36" x14ac:dyDescent="0.25">
      <c r="A45" s="1">
        <v>43952</v>
      </c>
      <c r="B45">
        <v>134414100000000</v>
      </c>
      <c r="C45" s="6">
        <v>99.006313000000006</v>
      </c>
      <c r="D45">
        <v>7250921948.4400005</v>
      </c>
      <c r="E45">
        <v>4263936608.434</v>
      </c>
      <c r="F45">
        <v>5143387733</v>
      </c>
      <c r="G45">
        <v>7841330309</v>
      </c>
      <c r="H45">
        <v>37940</v>
      </c>
      <c r="I45">
        <v>100.75</v>
      </c>
      <c r="J45">
        <v>100.14</v>
      </c>
      <c r="K45">
        <v>101.4</v>
      </c>
      <c r="L45">
        <v>25675862876000</v>
      </c>
      <c r="M45">
        <v>99288222941000</v>
      </c>
      <c r="N45">
        <v>2.2522380000000002</v>
      </c>
      <c r="O45">
        <v>19.06287</v>
      </c>
      <c r="P45" s="25">
        <v>10133.19</v>
      </c>
      <c r="Q45">
        <v>99.5</v>
      </c>
      <c r="R45" s="5">
        <v>929.75130211280316</v>
      </c>
      <c r="S45" s="8">
        <v>1055.7264785085258</v>
      </c>
      <c r="T45" s="9">
        <v>4054828</v>
      </c>
      <c r="U45" s="9">
        <v>19036</v>
      </c>
      <c r="V45" s="9">
        <v>47494</v>
      </c>
      <c r="W45">
        <v>97.1</v>
      </c>
      <c r="Z45">
        <v>30734.275340374919</v>
      </c>
      <c r="AA45" s="11">
        <f t="shared" si="0"/>
        <v>95.825426691978691</v>
      </c>
      <c r="AB45">
        <v>90.5</v>
      </c>
      <c r="AC45">
        <v>97.2</v>
      </c>
      <c r="AD45" s="16">
        <v>15962735.441435874</v>
      </c>
      <c r="AF45" s="15">
        <v>22.469379425048828</v>
      </c>
      <c r="AG45">
        <v>30.200307846069336</v>
      </c>
      <c r="AH45">
        <v>25361.922431992491</v>
      </c>
      <c r="AI45" s="11">
        <f t="shared" si="1"/>
        <v>101.74134889243005</v>
      </c>
      <c r="AJ45">
        <v>24082</v>
      </c>
    </row>
    <row r="46" spans="1:36" x14ac:dyDescent="0.25">
      <c r="A46" s="1">
        <v>43983</v>
      </c>
      <c r="B46">
        <v>168575000258000</v>
      </c>
      <c r="C46" s="6">
        <v>99.7</v>
      </c>
      <c r="D46">
        <v>8912994772.8999996</v>
      </c>
      <c r="E46">
        <v>5273084388.6300001</v>
      </c>
      <c r="F46">
        <v>6285414318</v>
      </c>
      <c r="G46">
        <v>9570403468</v>
      </c>
      <c r="H46">
        <v>47640</v>
      </c>
      <c r="I46">
        <v>100.6</v>
      </c>
      <c r="J46">
        <v>99.56</v>
      </c>
      <c r="K46">
        <v>100.3</v>
      </c>
      <c r="L46">
        <v>28179401399000</v>
      </c>
      <c r="M46">
        <v>103623854573000</v>
      </c>
      <c r="N46">
        <v>2.8281420000000002</v>
      </c>
      <c r="O46">
        <v>18.749979</v>
      </c>
      <c r="P46" s="25">
        <v>10156.530000000001</v>
      </c>
      <c r="Q46">
        <v>99</v>
      </c>
      <c r="R46" s="5">
        <v>1093.2130725203344</v>
      </c>
      <c r="S46" s="8">
        <v>1134.8709692577124</v>
      </c>
      <c r="T46" s="9">
        <v>4070701</v>
      </c>
      <c r="U46" s="9">
        <v>33560</v>
      </c>
      <c r="V46" s="9">
        <v>54948</v>
      </c>
      <c r="W46">
        <v>97.8</v>
      </c>
      <c r="Z46">
        <v>35690.905688290186</v>
      </c>
      <c r="AA46" s="11">
        <f t="shared" si="0"/>
        <v>101.0077064218525</v>
      </c>
      <c r="AB46">
        <v>94.9</v>
      </c>
      <c r="AC46">
        <v>98</v>
      </c>
      <c r="AD46" s="16">
        <v>19712788.992063142</v>
      </c>
      <c r="AF46" s="15">
        <v>51.413906097412109</v>
      </c>
      <c r="AG46">
        <v>74.448516845703125</v>
      </c>
      <c r="AH46">
        <v>32222.328475015052</v>
      </c>
      <c r="AI46" s="11">
        <f t="shared" si="1"/>
        <v>104.31104822326944</v>
      </c>
      <c r="AJ46">
        <v>26525</v>
      </c>
    </row>
    <row r="47" spans="1:36" x14ac:dyDescent="0.25">
      <c r="A47" s="1">
        <v>44013</v>
      </c>
      <c r="B47">
        <v>195813396677000</v>
      </c>
      <c r="C47" s="6">
        <v>97.205735000000004</v>
      </c>
      <c r="D47">
        <v>10546327677.689999</v>
      </c>
      <c r="E47">
        <v>7102476685.7439995</v>
      </c>
      <c r="F47">
        <v>8283572397</v>
      </c>
      <c r="G47">
        <v>11260666453</v>
      </c>
      <c r="H47">
        <v>55311</v>
      </c>
      <c r="I47">
        <v>100.4</v>
      </c>
      <c r="J47">
        <v>99.51</v>
      </c>
      <c r="K47">
        <v>101.1</v>
      </c>
      <c r="L47">
        <v>28434157723000</v>
      </c>
      <c r="M47">
        <v>106902161987000</v>
      </c>
      <c r="N47">
        <v>2.3012779999999999</v>
      </c>
      <c r="O47">
        <v>16.718381000000001</v>
      </c>
      <c r="P47" s="25">
        <v>10193.6</v>
      </c>
      <c r="Q47">
        <v>97.3</v>
      </c>
      <c r="R47" s="5">
        <v>949.15087808832345</v>
      </c>
      <c r="S47" s="8">
        <v>958.75543709147905</v>
      </c>
      <c r="T47" s="9">
        <v>3751711</v>
      </c>
      <c r="U47" s="9">
        <v>16054</v>
      </c>
      <c r="V47" s="9">
        <v>40674</v>
      </c>
      <c r="W47">
        <v>95.3</v>
      </c>
      <c r="Z47">
        <v>29288.718687412897</v>
      </c>
      <c r="AA47" s="11">
        <f t="shared" si="0"/>
        <v>82.647880926871537</v>
      </c>
      <c r="AB47">
        <v>93.2</v>
      </c>
      <c r="AC47">
        <v>98.4</v>
      </c>
      <c r="AD47" s="16">
        <v>17319720.033044305</v>
      </c>
      <c r="AF47" s="15">
        <v>36.707000000000001</v>
      </c>
      <c r="AG47">
        <v>65.872000000000014</v>
      </c>
      <c r="AH47">
        <v>23876.912443844787</v>
      </c>
      <c r="AI47" s="11">
        <f t="shared" si="1"/>
        <v>92.554336820274358</v>
      </c>
      <c r="AJ47">
        <v>33278</v>
      </c>
    </row>
    <row r="48" spans="1:36" x14ac:dyDescent="0.25">
      <c r="A48" s="1">
        <v>44044</v>
      </c>
      <c r="B48">
        <v>223627066582000</v>
      </c>
      <c r="C48" s="6">
        <v>96.790380999999996</v>
      </c>
      <c r="D48">
        <v>12163554525.889999</v>
      </c>
      <c r="E48">
        <v>10301221515.617001</v>
      </c>
      <c r="F48">
        <v>11608430506</v>
      </c>
      <c r="G48">
        <v>12928734038</v>
      </c>
      <c r="H48">
        <v>62745</v>
      </c>
      <c r="I48">
        <v>100.39</v>
      </c>
      <c r="J48">
        <v>100.54</v>
      </c>
      <c r="K48">
        <v>101.7</v>
      </c>
      <c r="L48">
        <v>29563403213000</v>
      </c>
      <c r="M48">
        <v>109277323366000</v>
      </c>
      <c r="N48">
        <v>2.4814569999999998</v>
      </c>
      <c r="O48">
        <v>15.495274</v>
      </c>
      <c r="P48" s="25">
        <v>10234.874838709673</v>
      </c>
      <c r="Q48">
        <v>97.1</v>
      </c>
      <c r="R48" s="5">
        <v>925.52612576345393</v>
      </c>
      <c r="S48" s="8">
        <v>983.74122696169138</v>
      </c>
      <c r="T48" s="9">
        <v>3710219</v>
      </c>
      <c r="U48" s="9">
        <v>15608</v>
      </c>
      <c r="V48" s="9">
        <v>62741</v>
      </c>
      <c r="W48">
        <v>94.9</v>
      </c>
      <c r="Z48">
        <v>30827.049940949702</v>
      </c>
      <c r="AA48" s="11">
        <f t="shared" si="0"/>
        <v>99.446893849403011</v>
      </c>
      <c r="AB48">
        <v>94.4</v>
      </c>
      <c r="AC48">
        <v>99</v>
      </c>
      <c r="AD48" s="16">
        <v>17383550.664233904</v>
      </c>
      <c r="AF48" s="15">
        <v>49.260999999999996</v>
      </c>
      <c r="AG48">
        <v>63.474000000000004</v>
      </c>
      <c r="AH48">
        <v>26372.475776683259</v>
      </c>
      <c r="AI48" s="11">
        <f t="shared" si="1"/>
        <v>107.48046322554615</v>
      </c>
      <c r="AJ48">
        <v>28856</v>
      </c>
    </row>
    <row r="49" spans="1:36" x14ac:dyDescent="0.25">
      <c r="A49" s="1">
        <v>44075</v>
      </c>
      <c r="B49">
        <v>258007772910000</v>
      </c>
      <c r="C49" s="6">
        <v>98.070999999999998</v>
      </c>
      <c r="D49">
        <v>14177355787.67</v>
      </c>
      <c r="E49">
        <v>10989885091.403</v>
      </c>
      <c r="F49">
        <v>12471273138</v>
      </c>
      <c r="G49">
        <v>15018862763</v>
      </c>
      <c r="H49">
        <v>71744</v>
      </c>
      <c r="I49">
        <v>100.5</v>
      </c>
      <c r="J49">
        <v>101.66</v>
      </c>
      <c r="K49">
        <v>100.8</v>
      </c>
      <c r="L49">
        <v>29260759734000</v>
      </c>
      <c r="M49">
        <v>109823471690000</v>
      </c>
      <c r="N49">
        <v>2.5566680000000002</v>
      </c>
      <c r="O49">
        <v>16.188393000000001</v>
      </c>
      <c r="P49" s="25">
        <v>10290.48</v>
      </c>
      <c r="Q49">
        <v>97.5</v>
      </c>
      <c r="R49" s="5">
        <v>954.13876579288558</v>
      </c>
      <c r="S49" s="8">
        <v>1007.4045054755516</v>
      </c>
      <c r="T49" s="9">
        <v>3944312</v>
      </c>
      <c r="U49" s="9">
        <v>19389</v>
      </c>
      <c r="V49" s="9">
        <v>63033</v>
      </c>
      <c r="W49">
        <v>96.2</v>
      </c>
      <c r="Z49">
        <v>39454.529066821975</v>
      </c>
      <c r="AA49" s="11">
        <f t="shared" si="0"/>
        <v>115.24655019173706</v>
      </c>
      <c r="AB49">
        <v>97.2</v>
      </c>
      <c r="AC49">
        <v>101.2</v>
      </c>
      <c r="AD49" s="16">
        <v>18934884.117700133</v>
      </c>
      <c r="AF49" s="15">
        <v>49.201435290000006</v>
      </c>
      <c r="AG49">
        <v>66.084930119999996</v>
      </c>
      <c r="AH49">
        <v>36731.058215895398</v>
      </c>
      <c r="AI49" s="11">
        <f t="shared" si="1"/>
        <v>124.90906983236971</v>
      </c>
      <c r="AJ49">
        <v>26994</v>
      </c>
    </row>
    <row r="50" spans="1:36" x14ac:dyDescent="0.25">
      <c r="A50" s="1">
        <v>44105</v>
      </c>
      <c r="B50">
        <v>289696123901000</v>
      </c>
      <c r="C50" s="6">
        <v>98.335561999999996</v>
      </c>
      <c r="D50">
        <v>15779125665.530001</v>
      </c>
      <c r="E50">
        <v>11705087093.854</v>
      </c>
      <c r="F50">
        <v>13329084687</v>
      </c>
      <c r="G50">
        <v>16730332590.999998</v>
      </c>
      <c r="H50">
        <v>79591</v>
      </c>
      <c r="I50">
        <v>100.72</v>
      </c>
      <c r="J50">
        <v>101.64</v>
      </c>
      <c r="K50">
        <v>100.4</v>
      </c>
      <c r="L50">
        <v>28449588802000</v>
      </c>
      <c r="M50">
        <v>110453912358000</v>
      </c>
      <c r="N50">
        <v>2.3996620000000002</v>
      </c>
      <c r="O50">
        <v>15.557295999999999</v>
      </c>
      <c r="P50" s="25">
        <v>10352.802903225811</v>
      </c>
      <c r="Q50">
        <v>97.2</v>
      </c>
      <c r="R50" s="5">
        <v>878.51819007013489</v>
      </c>
      <c r="S50" s="8">
        <v>1014.7571132690656</v>
      </c>
      <c r="T50" s="9">
        <v>4232667</v>
      </c>
      <c r="U50" s="9">
        <v>19722</v>
      </c>
      <c r="V50" s="9">
        <v>64267</v>
      </c>
      <c r="W50">
        <v>96.4</v>
      </c>
      <c r="Z50">
        <v>34182.374367713252</v>
      </c>
      <c r="AA50" s="11">
        <f t="shared" si="0"/>
        <v>109.78696102653227</v>
      </c>
      <c r="AB50">
        <v>100.5</v>
      </c>
      <c r="AC50">
        <v>102.5</v>
      </c>
      <c r="AD50" s="16">
        <v>17605808.714375637</v>
      </c>
      <c r="AF50" s="15">
        <v>43.866553609999997</v>
      </c>
      <c r="AG50">
        <v>53.858655600000006</v>
      </c>
      <c r="AH50">
        <v>29856.935213017299</v>
      </c>
      <c r="AI50" s="11">
        <f t="shared" si="1"/>
        <v>123.34763105599937</v>
      </c>
      <c r="AJ50">
        <v>30086</v>
      </c>
    </row>
    <row r="51" spans="1:36" x14ac:dyDescent="0.25">
      <c r="A51" s="1">
        <v>44136</v>
      </c>
      <c r="B51">
        <v>322282797465000</v>
      </c>
      <c r="C51" s="6">
        <v>100.090056</v>
      </c>
      <c r="D51">
        <v>17733013421.23</v>
      </c>
      <c r="E51">
        <v>12376656442.855</v>
      </c>
      <c r="F51">
        <v>14197275816</v>
      </c>
      <c r="G51">
        <v>18774488274</v>
      </c>
      <c r="H51">
        <v>87323</v>
      </c>
      <c r="I51">
        <v>100.85</v>
      </c>
      <c r="J51">
        <v>101.72</v>
      </c>
      <c r="K51">
        <v>100.2</v>
      </c>
      <c r="L51">
        <v>27247331746000</v>
      </c>
      <c r="M51">
        <v>108825083513000</v>
      </c>
      <c r="N51">
        <v>2.376439</v>
      </c>
      <c r="O51">
        <v>15.424295000000001</v>
      </c>
      <c r="P51" s="25">
        <v>10386.015687403071</v>
      </c>
      <c r="Q51">
        <v>97.4</v>
      </c>
      <c r="R51" s="5">
        <v>886.36033842333086</v>
      </c>
      <c r="S51" s="8">
        <v>1019.2973651179109</v>
      </c>
      <c r="T51" s="9">
        <v>4280289</v>
      </c>
      <c r="U51" s="9">
        <v>19625</v>
      </c>
      <c r="V51" s="9">
        <v>63197</v>
      </c>
      <c r="W51">
        <v>98.2</v>
      </c>
      <c r="Z51">
        <v>35966.576544616662</v>
      </c>
      <c r="AA51" s="11">
        <f t="shared" si="0"/>
        <v>131.64621547013164</v>
      </c>
      <c r="AB51">
        <v>101.4</v>
      </c>
      <c r="AC51">
        <v>103.8</v>
      </c>
      <c r="AD51" s="16">
        <v>19775191.031943005</v>
      </c>
      <c r="AF51" s="15">
        <v>38.884610800000004</v>
      </c>
      <c r="AG51">
        <v>51.421140780000002</v>
      </c>
      <c r="AH51">
        <v>30742.242129623282</v>
      </c>
      <c r="AI51" s="11">
        <f t="shared" si="1"/>
        <v>122.84922192533053</v>
      </c>
      <c r="AJ51">
        <v>31363</v>
      </c>
    </row>
    <row r="52" spans="1:36" x14ac:dyDescent="0.25">
      <c r="A52" s="1">
        <v>44166</v>
      </c>
      <c r="B52">
        <v>368740156771000</v>
      </c>
      <c r="C52" s="6">
        <v>100.9</v>
      </c>
      <c r="D52">
        <v>19955144530.960003</v>
      </c>
      <c r="E52">
        <v>13123873668.245998</v>
      </c>
      <c r="F52">
        <v>15127725579</v>
      </c>
      <c r="G52">
        <v>21171537938</v>
      </c>
      <c r="H52">
        <v>95311</v>
      </c>
      <c r="I52">
        <v>100.89</v>
      </c>
      <c r="J52">
        <v>101.74</v>
      </c>
      <c r="K52">
        <v>99.6</v>
      </c>
      <c r="L52">
        <v>24868742276000</v>
      </c>
      <c r="M52">
        <v>107231452553000</v>
      </c>
      <c r="N52">
        <v>2.0606529999999998</v>
      </c>
      <c r="O52">
        <v>15.034973000000001</v>
      </c>
      <c r="P52" s="25">
        <v>10454.26258064516</v>
      </c>
      <c r="Q52">
        <v>97.6</v>
      </c>
      <c r="R52" s="5">
        <v>915.51147720207734</v>
      </c>
      <c r="S52" s="8">
        <v>1017.0661546527866</v>
      </c>
      <c r="T52" s="9">
        <v>4846526</v>
      </c>
      <c r="U52" s="9">
        <v>23736</v>
      </c>
      <c r="V52" s="9">
        <v>62017</v>
      </c>
      <c r="W52">
        <v>98.9</v>
      </c>
      <c r="Z52">
        <v>52415.215382174101</v>
      </c>
      <c r="AA52" s="11">
        <f t="shared" si="0"/>
        <v>118.13932945669647</v>
      </c>
      <c r="AB52">
        <v>106.2</v>
      </c>
      <c r="AC52">
        <v>105.7</v>
      </c>
      <c r="AD52" s="16">
        <v>22996302.703790557</v>
      </c>
      <c r="AF52" s="15">
        <v>52.324132789999993</v>
      </c>
      <c r="AG52">
        <v>73.390088259999999</v>
      </c>
      <c r="AH52">
        <v>38961.961174700657</v>
      </c>
      <c r="AI52" s="11">
        <f t="shared" si="1"/>
        <v>135.93563377602663</v>
      </c>
      <c r="AJ52">
        <v>24533</v>
      </c>
    </row>
    <row r="53" spans="1:36" x14ac:dyDescent="0.25">
      <c r="A53" s="1">
        <v>44197</v>
      </c>
      <c r="B53">
        <v>26766634931000</v>
      </c>
      <c r="C53" s="6">
        <v>98.760977999999994</v>
      </c>
      <c r="D53">
        <v>1583437946.01</v>
      </c>
      <c r="E53">
        <v>527178673.46399999</v>
      </c>
      <c r="F53">
        <v>694740961</v>
      </c>
      <c r="G53">
        <v>1639246908</v>
      </c>
      <c r="H53">
        <v>8722</v>
      </c>
      <c r="I53">
        <v>101.39</v>
      </c>
      <c r="J53">
        <v>100.89</v>
      </c>
      <c r="K53">
        <v>101</v>
      </c>
      <c r="L53">
        <v>24920345319000</v>
      </c>
      <c r="M53">
        <v>112012067613000</v>
      </c>
      <c r="N53">
        <v>2.66</v>
      </c>
      <c r="O53">
        <v>15.866</v>
      </c>
      <c r="P53" s="25">
        <v>10483.411935483871</v>
      </c>
      <c r="Q53">
        <v>94.2</v>
      </c>
      <c r="R53" s="5">
        <v>975.37490215118657</v>
      </c>
      <c r="S53" s="8">
        <v>929.66396349962213</v>
      </c>
      <c r="T53" s="9">
        <v>3647445</v>
      </c>
      <c r="U53" s="9">
        <v>18129</v>
      </c>
      <c r="V53" s="9">
        <v>50002</v>
      </c>
      <c r="W53">
        <v>96.9</v>
      </c>
      <c r="X53">
        <v>5860.8</v>
      </c>
      <c r="Y53">
        <v>97.1</v>
      </c>
      <c r="Z53">
        <v>26766.6</v>
      </c>
      <c r="AA53" s="11">
        <f t="shared" si="0"/>
        <v>98.799999999999983</v>
      </c>
      <c r="AB53">
        <v>109.7</v>
      </c>
      <c r="AC53">
        <v>101.4</v>
      </c>
      <c r="AD53" s="16">
        <v>14955287.1</v>
      </c>
      <c r="AF53" s="15">
        <v>68.51074285</v>
      </c>
      <c r="AG53">
        <v>88.597681859999994</v>
      </c>
      <c r="AH53">
        <v>20487.8</v>
      </c>
      <c r="AI53" s="11">
        <f t="shared" si="1"/>
        <v>97.8</v>
      </c>
      <c r="AJ53">
        <v>23622</v>
      </c>
    </row>
    <row r="54" spans="1:36" x14ac:dyDescent="0.25">
      <c r="A54" s="1">
        <v>44228</v>
      </c>
      <c r="B54">
        <v>55281300000000</v>
      </c>
      <c r="C54" s="6">
        <v>101</v>
      </c>
      <c r="D54">
        <v>3095492584</v>
      </c>
      <c r="E54">
        <v>1209971142.237</v>
      </c>
      <c r="F54">
        <v>1499222076</v>
      </c>
      <c r="G54">
        <v>3221767612</v>
      </c>
      <c r="H54">
        <v>18565</v>
      </c>
      <c r="I54">
        <v>100.83</v>
      </c>
      <c r="J54">
        <v>100.58</v>
      </c>
      <c r="K54">
        <v>100.9</v>
      </c>
      <c r="L54">
        <v>22926737335000</v>
      </c>
      <c r="M54">
        <v>107486611142000</v>
      </c>
      <c r="N54">
        <v>2.76</v>
      </c>
      <c r="O54">
        <v>16.956907000000001</v>
      </c>
      <c r="P54" s="25">
        <v>10533.738571428572</v>
      </c>
      <c r="Q54">
        <v>96</v>
      </c>
      <c r="R54" s="5">
        <v>993.29557291256231</v>
      </c>
      <c r="S54" s="8">
        <v>1100.5458913181114</v>
      </c>
      <c r="T54" s="9">
        <v>4362863</v>
      </c>
      <c r="U54" s="9">
        <v>20214</v>
      </c>
      <c r="V54" s="9">
        <v>51516</v>
      </c>
      <c r="W54">
        <v>99.1</v>
      </c>
      <c r="X54">
        <v>4799.2845786963426</v>
      </c>
      <c r="Y54">
        <v>87.2</v>
      </c>
      <c r="Z54">
        <v>28260.356788899902</v>
      </c>
      <c r="AA54" s="11">
        <f t="shared" si="0"/>
        <v>102.4405295063125</v>
      </c>
      <c r="AB54">
        <v>107.3</v>
      </c>
      <c r="AC54">
        <v>100.7</v>
      </c>
      <c r="AD54" s="16">
        <v>16657862.398091074</v>
      </c>
      <c r="AF54" s="15">
        <v>60.157249069999992</v>
      </c>
      <c r="AG54">
        <v>77.237004060000004</v>
      </c>
      <c r="AH54">
        <v>22896.134786917737</v>
      </c>
      <c r="AI54" s="11">
        <f t="shared" si="1"/>
        <v>104.09461349174927</v>
      </c>
      <c r="AJ54">
        <v>28546</v>
      </c>
    </row>
    <row r="55" spans="1:36" x14ac:dyDescent="0.25">
      <c r="A55" s="1">
        <v>44256</v>
      </c>
      <c r="B55">
        <v>91530500000000</v>
      </c>
      <c r="C55" s="6">
        <v>103.8</v>
      </c>
      <c r="D55">
        <v>4745281245.4899998</v>
      </c>
      <c r="E55">
        <v>1949106437.1329999</v>
      </c>
      <c r="F55">
        <v>2418604231</v>
      </c>
      <c r="G55">
        <v>5107201969</v>
      </c>
      <c r="H55">
        <v>27709</v>
      </c>
      <c r="I55">
        <v>100.43</v>
      </c>
      <c r="J55">
        <v>100.96</v>
      </c>
      <c r="K55">
        <v>99.9</v>
      </c>
      <c r="L55">
        <v>22828372545000</v>
      </c>
      <c r="M55">
        <v>108114454964000</v>
      </c>
      <c r="N55">
        <v>3.54</v>
      </c>
      <c r="O55">
        <v>17.437107000000001</v>
      </c>
      <c r="P55" s="25">
        <v>10503.901290322583</v>
      </c>
      <c r="Q55">
        <v>98.2</v>
      </c>
      <c r="R55" s="5">
        <v>1140.0309880875302</v>
      </c>
      <c r="S55" s="8">
        <v>1129.8008880726779</v>
      </c>
      <c r="T55" s="9">
        <v>5049687</v>
      </c>
      <c r="U55" s="9">
        <v>20239</v>
      </c>
      <c r="V55" s="9">
        <v>55487</v>
      </c>
      <c r="W55">
        <v>101.8</v>
      </c>
      <c r="X55">
        <v>8738.4018757540016</v>
      </c>
      <c r="Y55">
        <v>103.9</v>
      </c>
      <c r="Z55">
        <v>35961.82902426707</v>
      </c>
      <c r="AA55" s="11">
        <f t="shared" si="0"/>
        <v>108.16898632000098</v>
      </c>
      <c r="AB55">
        <v>109</v>
      </c>
      <c r="AC55">
        <v>102.7</v>
      </c>
      <c r="AD55" s="16">
        <v>18023263.506685</v>
      </c>
      <c r="AF55" s="15">
        <v>64.667171629999999</v>
      </c>
      <c r="AG55">
        <v>83.210352749999998</v>
      </c>
      <c r="AH55">
        <v>29533.894647868867</v>
      </c>
      <c r="AI55" s="11">
        <f t="shared" si="1"/>
        <v>109.45182300423859</v>
      </c>
      <c r="AJ55">
        <v>34051</v>
      </c>
    </row>
    <row r="56" spans="1:36" x14ac:dyDescent="0.25">
      <c r="A56" s="1">
        <v>44287</v>
      </c>
      <c r="B56">
        <v>124281197856000</v>
      </c>
      <c r="C56" s="6">
        <v>106.6</v>
      </c>
      <c r="D56">
        <v>6770355859.9200001</v>
      </c>
      <c r="E56">
        <v>2845074776.9720001</v>
      </c>
      <c r="F56">
        <v>3499708741</v>
      </c>
      <c r="G56">
        <v>7150433861</v>
      </c>
      <c r="H56">
        <v>37352</v>
      </c>
      <c r="I56">
        <v>100.49</v>
      </c>
      <c r="J56">
        <v>101.84</v>
      </c>
      <c r="K56">
        <v>101.6</v>
      </c>
      <c r="L56">
        <v>22530690390000</v>
      </c>
      <c r="M56">
        <v>110478965442000</v>
      </c>
      <c r="N56">
        <v>4.3679100000000002</v>
      </c>
      <c r="O56">
        <v>18.128223999999999</v>
      </c>
      <c r="P56" s="25">
        <v>10502.168999999998</v>
      </c>
      <c r="Q56">
        <v>101.2</v>
      </c>
      <c r="R56" s="5">
        <v>1707.4820412586876</v>
      </c>
      <c r="S56" s="8">
        <v>987.33039412074186</v>
      </c>
      <c r="T56" s="9">
        <v>5058130</v>
      </c>
      <c r="U56" s="9">
        <v>20751</v>
      </c>
      <c r="V56" s="9">
        <v>63318</v>
      </c>
      <c r="W56">
        <v>104.6</v>
      </c>
      <c r="X56">
        <v>10723.120630552719</v>
      </c>
      <c r="Y56">
        <v>100.5</v>
      </c>
      <c r="Z56">
        <v>31979.393610540053</v>
      </c>
      <c r="AA56" s="11">
        <f t="shared" si="0"/>
        <v>113.13957453966941</v>
      </c>
      <c r="AB56">
        <v>106.2</v>
      </c>
      <c r="AC56">
        <v>108.4</v>
      </c>
      <c r="AD56" s="16">
        <v>17465558.215775348</v>
      </c>
      <c r="AF56" s="15">
        <v>58.737427249999996</v>
      </c>
      <c r="AG56">
        <v>78.864738630000005</v>
      </c>
      <c r="AH56">
        <v>26429.744791262787</v>
      </c>
      <c r="AI56" s="11">
        <f t="shared" si="1"/>
        <v>114.92047629028212</v>
      </c>
      <c r="AJ56">
        <v>31284</v>
      </c>
    </row>
    <row r="57" spans="1:36" x14ac:dyDescent="0.25">
      <c r="A57" s="1">
        <v>44317</v>
      </c>
      <c r="B57">
        <v>160035300000000</v>
      </c>
      <c r="C57" s="6">
        <v>108.2</v>
      </c>
      <c r="D57">
        <v>8685979320.9300003</v>
      </c>
      <c r="E57">
        <v>4863142405.3509998</v>
      </c>
      <c r="F57">
        <v>5745522294</v>
      </c>
      <c r="G57">
        <v>9197373397</v>
      </c>
      <c r="H57">
        <v>45535</v>
      </c>
      <c r="I57">
        <v>100.71</v>
      </c>
      <c r="J57">
        <v>100.44</v>
      </c>
      <c r="K57">
        <v>101.1</v>
      </c>
      <c r="L57">
        <v>23510772164000</v>
      </c>
      <c r="M57">
        <v>112659585893000</v>
      </c>
      <c r="N57">
        <v>4.6387590000000003</v>
      </c>
      <c r="O57">
        <v>17.792182</v>
      </c>
      <c r="P57" s="25">
        <v>10552.310322580646</v>
      </c>
      <c r="Q57">
        <v>102</v>
      </c>
      <c r="R57" s="5">
        <v>1255.1043750104263</v>
      </c>
      <c r="S57" s="8">
        <v>916.99537230070257</v>
      </c>
      <c r="T57" s="9">
        <v>4576834</v>
      </c>
      <c r="U57" s="9">
        <v>18395</v>
      </c>
      <c r="V57" s="9">
        <v>54568</v>
      </c>
      <c r="W57">
        <v>106.1</v>
      </c>
      <c r="X57">
        <v>7479.9166624742829</v>
      </c>
      <c r="Y57">
        <v>97.7</v>
      </c>
      <c r="Z57">
        <v>34532.206753132064</v>
      </c>
      <c r="AA57" s="11">
        <f t="shared" si="0"/>
        <v>112.35731563765843</v>
      </c>
      <c r="AB57">
        <v>111.7</v>
      </c>
      <c r="AC57">
        <v>111</v>
      </c>
      <c r="AD57" s="16">
        <v>19448280.563982978</v>
      </c>
      <c r="AF57" s="15">
        <v>53.404401219999997</v>
      </c>
      <c r="AG57">
        <v>70.106249659999989</v>
      </c>
      <c r="AH57">
        <v>29069.886389509054</v>
      </c>
      <c r="AI57" s="11">
        <f t="shared" si="1"/>
        <v>114.62020068651893</v>
      </c>
      <c r="AJ57">
        <v>29104</v>
      </c>
    </row>
    <row r="58" spans="1:36" x14ac:dyDescent="0.25">
      <c r="A58" s="1">
        <v>44348</v>
      </c>
      <c r="B58">
        <v>200060635119000</v>
      </c>
      <c r="C58" s="6">
        <v>108.522335</v>
      </c>
      <c r="D58">
        <v>10769442147.49</v>
      </c>
      <c r="E58">
        <v>5924792861.1260004</v>
      </c>
      <c r="F58">
        <v>7064100324</v>
      </c>
      <c r="G58">
        <v>11430772599</v>
      </c>
      <c r="H58">
        <v>54693</v>
      </c>
      <c r="I58">
        <v>100.23</v>
      </c>
      <c r="J58">
        <v>99.69</v>
      </c>
      <c r="K58">
        <v>101.1</v>
      </c>
      <c r="L58">
        <v>25286976653000</v>
      </c>
      <c r="M58">
        <v>121235809162000</v>
      </c>
      <c r="N58">
        <v>5.5134020000000001</v>
      </c>
      <c r="O58">
        <v>18.114304000000001</v>
      </c>
      <c r="P58" s="25">
        <v>10573.091666666669</v>
      </c>
      <c r="Q58">
        <v>102.9</v>
      </c>
      <c r="R58" s="5">
        <v>1130.9092714156354</v>
      </c>
      <c r="S58" s="8">
        <v>1033.8437715786192</v>
      </c>
      <c r="T58" s="9">
        <v>4890829</v>
      </c>
      <c r="U58" s="9">
        <v>21494</v>
      </c>
      <c r="V58" s="9">
        <v>62025</v>
      </c>
      <c r="W58">
        <v>106.4</v>
      </c>
      <c r="X58">
        <v>10492.417646521486</v>
      </c>
      <c r="Y58">
        <v>101.4</v>
      </c>
      <c r="Z58">
        <v>38236.833695276095</v>
      </c>
      <c r="AA58" s="11">
        <f t="shared" si="0"/>
        <v>107.13326814741268</v>
      </c>
      <c r="AB58">
        <v>109.3</v>
      </c>
      <c r="AC58">
        <v>109</v>
      </c>
      <c r="AD58" s="16">
        <v>20113874.706818644</v>
      </c>
      <c r="AF58" s="15">
        <v>57.918155059999989</v>
      </c>
      <c r="AG58">
        <v>71.873032789999996</v>
      </c>
      <c r="AH58">
        <v>33031.886706612844</v>
      </c>
      <c r="AI58" s="11">
        <f t="shared" si="1"/>
        <v>102.51241381337638</v>
      </c>
      <c r="AJ58">
        <v>31214</v>
      </c>
    </row>
    <row r="59" spans="1:36" x14ac:dyDescent="0.25">
      <c r="A59" s="1">
        <v>44378</v>
      </c>
      <c r="B59">
        <v>233757968764000</v>
      </c>
      <c r="C59" s="6">
        <v>108.852</v>
      </c>
      <c r="D59">
        <v>12755500780.33</v>
      </c>
      <c r="E59">
        <v>6777438069.816</v>
      </c>
      <c r="F59">
        <v>8160015592</v>
      </c>
      <c r="G59">
        <v>13598922706</v>
      </c>
      <c r="H59">
        <v>61612</v>
      </c>
      <c r="I59">
        <v>100.15</v>
      </c>
      <c r="J59">
        <v>99.73</v>
      </c>
      <c r="K59">
        <v>100.3</v>
      </c>
      <c r="L59">
        <v>26024874006000</v>
      </c>
      <c r="M59">
        <v>121181024962000</v>
      </c>
      <c r="N59">
        <v>6.158703</v>
      </c>
      <c r="O59">
        <v>17.873543999999999</v>
      </c>
      <c r="P59" s="25">
        <v>10622.123870967744</v>
      </c>
      <c r="Q59">
        <v>103.7</v>
      </c>
      <c r="R59" s="5">
        <v>1261.7492435092468</v>
      </c>
      <c r="S59" s="8">
        <v>1002.6407532106246</v>
      </c>
      <c r="T59" s="9">
        <v>4504090</v>
      </c>
      <c r="U59" s="9">
        <v>18056</v>
      </c>
      <c r="V59" s="9">
        <v>47273</v>
      </c>
      <c r="W59">
        <v>106.8</v>
      </c>
      <c r="X59">
        <v>8234.2810737215241</v>
      </c>
      <c r="Y59">
        <v>101.6</v>
      </c>
      <c r="Z59">
        <v>32095.399554178694</v>
      </c>
      <c r="AA59" s="11">
        <f t="shared" si="0"/>
        <v>109.58280523200898</v>
      </c>
      <c r="AB59">
        <v>110.2</v>
      </c>
      <c r="AC59">
        <v>108.6</v>
      </c>
      <c r="AD59" s="16">
        <v>18522370.587073836</v>
      </c>
      <c r="AF59" s="15">
        <v>54.813544359999995</v>
      </c>
      <c r="AG59">
        <v>72.630138130000006</v>
      </c>
      <c r="AH59">
        <v>26363.309434556475</v>
      </c>
      <c r="AI59" s="11">
        <f t="shared" si="1"/>
        <v>110.41339409590478</v>
      </c>
      <c r="AJ59">
        <v>26872</v>
      </c>
    </row>
    <row r="60" spans="1:36" x14ac:dyDescent="0.25">
      <c r="A60" s="1">
        <v>44409</v>
      </c>
      <c r="B60">
        <v>269779852300999.97</v>
      </c>
      <c r="C60" s="6">
        <v>109.19137600000001</v>
      </c>
      <c r="D60">
        <v>14826927157.34</v>
      </c>
      <c r="E60">
        <v>7664009252.184</v>
      </c>
      <c r="F60">
        <v>9303403456</v>
      </c>
      <c r="G60">
        <v>15848149382</v>
      </c>
      <c r="H60">
        <v>69805</v>
      </c>
      <c r="I60">
        <v>100.19</v>
      </c>
      <c r="J60">
        <v>100.65</v>
      </c>
      <c r="K60">
        <v>101.2</v>
      </c>
      <c r="L60">
        <v>27054068127000</v>
      </c>
      <c r="M60">
        <v>123307924858000</v>
      </c>
      <c r="N60">
        <v>5.9340419999999998</v>
      </c>
      <c r="O60">
        <v>18.338934999999999</v>
      </c>
      <c r="P60" s="25">
        <v>10644.69258064516</v>
      </c>
      <c r="Q60">
        <v>103.9</v>
      </c>
      <c r="R60" s="5">
        <v>1307.6540848003167</v>
      </c>
      <c r="S60" s="8">
        <v>1060.9748793077415</v>
      </c>
      <c r="T60" s="9">
        <v>4692569</v>
      </c>
      <c r="U60" s="9">
        <v>21779</v>
      </c>
      <c r="V60" s="9">
        <v>57374</v>
      </c>
      <c r="W60">
        <v>107.1</v>
      </c>
      <c r="X60">
        <v>8825.9836798997894</v>
      </c>
      <c r="Y60">
        <v>102.7</v>
      </c>
      <c r="Z60">
        <v>33902.560303577869</v>
      </c>
      <c r="AA60" s="11">
        <f t="shared" si="0"/>
        <v>109.9766613040152</v>
      </c>
      <c r="AB60">
        <v>110.9</v>
      </c>
      <c r="AC60">
        <v>109.1</v>
      </c>
      <c r="AD60" s="16">
        <v>19614313.502662681</v>
      </c>
      <c r="AF60" s="15">
        <v>62.750248359999993</v>
      </c>
      <c r="AG60">
        <v>76.952436449999993</v>
      </c>
      <c r="AH60">
        <v>28074.206296932804</v>
      </c>
      <c r="AI60" s="11">
        <f t="shared" si="1"/>
        <v>106.45267639890714</v>
      </c>
      <c r="AJ60">
        <v>30270</v>
      </c>
    </row>
    <row r="61" spans="1:36" x14ac:dyDescent="0.25">
      <c r="A61" s="1">
        <v>44440</v>
      </c>
      <c r="B61">
        <v>314843515248000</v>
      </c>
      <c r="C61" s="6">
        <v>109.02601199999999</v>
      </c>
      <c r="D61">
        <v>16746856201.940001</v>
      </c>
      <c r="E61">
        <v>8485380866.2519999</v>
      </c>
      <c r="F61">
        <v>10357163263</v>
      </c>
      <c r="G61">
        <v>17966054513</v>
      </c>
      <c r="H61">
        <v>79289</v>
      </c>
      <c r="I61">
        <v>101.54</v>
      </c>
      <c r="J61">
        <v>100.96</v>
      </c>
      <c r="K61">
        <v>100.6</v>
      </c>
      <c r="L61">
        <v>27160877871000</v>
      </c>
      <c r="M61">
        <v>125111048562000</v>
      </c>
      <c r="N61">
        <v>5.7425499999999996</v>
      </c>
      <c r="O61">
        <v>18.887460000000001</v>
      </c>
      <c r="P61" s="25">
        <v>10672.298999999997</v>
      </c>
      <c r="Q61">
        <v>104.1</v>
      </c>
      <c r="R61" s="5">
        <v>1124.4904593107567</v>
      </c>
      <c r="S61" s="8">
        <v>918.44791218237276</v>
      </c>
      <c r="T61" s="9">
        <v>4357168</v>
      </c>
      <c r="U61" s="9">
        <v>19330</v>
      </c>
      <c r="V61" s="9">
        <v>53291</v>
      </c>
      <c r="W61">
        <v>106.9</v>
      </c>
      <c r="X61">
        <v>9840.3951483516648</v>
      </c>
      <c r="Y61">
        <v>104.9</v>
      </c>
      <c r="Z61">
        <v>42159.33806206454</v>
      </c>
      <c r="AA61" s="11">
        <f t="shared" si="0"/>
        <v>106.85550951745381</v>
      </c>
      <c r="AB61">
        <v>111.1</v>
      </c>
      <c r="AC61">
        <v>109.8</v>
      </c>
      <c r="AD61" s="16">
        <v>21932588.616871517</v>
      </c>
      <c r="AF61" s="15">
        <v>56.119670749999997</v>
      </c>
      <c r="AG61">
        <v>69.652672019999997</v>
      </c>
      <c r="AH61">
        <v>36228.406586451027</v>
      </c>
      <c r="AI61" s="11">
        <f t="shared" si="1"/>
        <v>98.631535126241346</v>
      </c>
      <c r="AJ61">
        <v>26291</v>
      </c>
    </row>
    <row r="62" spans="1:36" x14ac:dyDescent="0.25">
      <c r="A62" s="1">
        <v>44470</v>
      </c>
      <c r="B62">
        <v>356097412002000</v>
      </c>
      <c r="C62" s="6">
        <v>109.52866</v>
      </c>
      <c r="D62">
        <v>18918544907.34</v>
      </c>
      <c r="E62">
        <v>10403721011.57</v>
      </c>
      <c r="F62">
        <v>12506435982</v>
      </c>
      <c r="G62">
        <v>20312210228</v>
      </c>
      <c r="H62">
        <v>87197</v>
      </c>
      <c r="I62">
        <v>100.45</v>
      </c>
      <c r="J62">
        <v>101.57</v>
      </c>
      <c r="K62">
        <v>102.5</v>
      </c>
      <c r="L62">
        <v>28622613851000</v>
      </c>
      <c r="M62">
        <v>128427774069000</v>
      </c>
      <c r="N62">
        <v>5.6202100000000002</v>
      </c>
      <c r="O62">
        <v>17.620792999999999</v>
      </c>
      <c r="P62" s="25">
        <v>10689.46</v>
      </c>
      <c r="Q62">
        <v>103.9</v>
      </c>
      <c r="R62" s="5">
        <v>1257.4765877844384</v>
      </c>
      <c r="S62" s="8">
        <v>1075.497825436805</v>
      </c>
      <c r="T62" s="9">
        <v>4868573</v>
      </c>
      <c r="U62" s="9">
        <v>21593</v>
      </c>
      <c r="V62" s="9">
        <v>70677</v>
      </c>
      <c r="W62">
        <v>107.4</v>
      </c>
      <c r="X62">
        <v>8576.2259287983597</v>
      </c>
      <c r="Y62">
        <v>105.6</v>
      </c>
      <c r="Z62">
        <v>37653.820356196986</v>
      </c>
      <c r="AA62" s="11">
        <f t="shared" si="0"/>
        <v>110.1556607833617</v>
      </c>
      <c r="AB62">
        <v>112.2</v>
      </c>
      <c r="AC62">
        <v>110.5</v>
      </c>
      <c r="AD62" s="16">
        <v>20712977.731410172</v>
      </c>
      <c r="AF62" s="15">
        <v>60.801158139999998</v>
      </c>
      <c r="AG62">
        <v>71.285459959999997</v>
      </c>
      <c r="AH62">
        <v>30877.959984733927</v>
      </c>
      <c r="AI62" s="11">
        <f t="shared" si="1"/>
        <v>103.41972397512345</v>
      </c>
      <c r="AJ62">
        <v>26722</v>
      </c>
    </row>
    <row r="63" spans="1:36" x14ac:dyDescent="0.25">
      <c r="A63" s="1">
        <v>44501</v>
      </c>
      <c r="B63">
        <v>397341700177000</v>
      </c>
      <c r="C63" s="6">
        <v>109.3</v>
      </c>
      <c r="D63">
        <v>21054196294.080002</v>
      </c>
      <c r="E63">
        <v>13176637872.348999</v>
      </c>
      <c r="F63">
        <v>15509202893</v>
      </c>
      <c r="G63">
        <v>22597697274</v>
      </c>
      <c r="H63">
        <v>94793</v>
      </c>
      <c r="I63">
        <v>100.53</v>
      </c>
      <c r="J63">
        <v>101.43</v>
      </c>
      <c r="K63">
        <v>101.9</v>
      </c>
      <c r="L63">
        <v>29518896889000</v>
      </c>
      <c r="M63">
        <v>132290802865000</v>
      </c>
      <c r="N63">
        <v>5.6537389999999998</v>
      </c>
      <c r="O63">
        <v>17.306249999999999</v>
      </c>
      <c r="P63" s="25">
        <v>10730.188</v>
      </c>
      <c r="Q63">
        <v>104.1</v>
      </c>
      <c r="R63" s="5">
        <v>1290.7168066379973</v>
      </c>
      <c r="S63" s="8">
        <v>1037.1794217990189</v>
      </c>
      <c r="T63" s="9">
        <v>5170709</v>
      </c>
      <c r="U63" s="9">
        <v>22454</v>
      </c>
      <c r="V63" s="9">
        <v>68786</v>
      </c>
      <c r="W63">
        <v>107.2</v>
      </c>
      <c r="X63">
        <v>8273.2080083022975</v>
      </c>
      <c r="Y63">
        <v>105.9</v>
      </c>
      <c r="Z63">
        <v>36943.138482539631</v>
      </c>
      <c r="AA63" s="11">
        <f t="shared" si="0"/>
        <v>102.71519291448699</v>
      </c>
      <c r="AB63">
        <v>113.8</v>
      </c>
      <c r="AC63">
        <v>111</v>
      </c>
      <c r="AD63" s="16">
        <v>23086460.856257845</v>
      </c>
      <c r="AF63" s="15">
        <v>55.252713549999996</v>
      </c>
      <c r="AG63">
        <v>67.411246269999992</v>
      </c>
      <c r="AH63">
        <v>30109.280833057492</v>
      </c>
      <c r="AI63" s="11">
        <f t="shared" si="1"/>
        <v>97.941069835124779</v>
      </c>
      <c r="AJ63">
        <v>28384</v>
      </c>
    </row>
    <row r="64" spans="1:36" x14ac:dyDescent="0.25">
      <c r="A64" s="1">
        <v>44531</v>
      </c>
      <c r="B64">
        <v>456056089800000</v>
      </c>
      <c r="C64" s="6">
        <v>108.75700000000001</v>
      </c>
      <c r="D64">
        <v>23740369298.950001</v>
      </c>
      <c r="E64">
        <v>14081079638.202</v>
      </c>
      <c r="F64">
        <v>16662804356</v>
      </c>
      <c r="G64">
        <v>25507715680</v>
      </c>
      <c r="H64">
        <v>102804</v>
      </c>
      <c r="I64">
        <v>100.53</v>
      </c>
      <c r="J64">
        <v>101.47</v>
      </c>
      <c r="K64">
        <v>100.2</v>
      </c>
      <c r="L64">
        <v>27140571412000</v>
      </c>
      <c r="M64">
        <v>133494681155000</v>
      </c>
      <c r="N64">
        <v>5.1302250000000003</v>
      </c>
      <c r="O64">
        <v>18.325203999999999</v>
      </c>
      <c r="P64" s="25">
        <v>10806.186451612901</v>
      </c>
      <c r="Q64">
        <v>104.5</v>
      </c>
      <c r="R64" s="5">
        <v>1415.9825130932074</v>
      </c>
      <c r="S64" s="8">
        <v>1087.9917310122537</v>
      </c>
      <c r="T64" s="9">
        <v>5875848</v>
      </c>
      <c r="U64" s="9">
        <v>25801</v>
      </c>
      <c r="V64" s="9">
        <v>57597</v>
      </c>
      <c r="W64">
        <v>106.6</v>
      </c>
      <c r="X64">
        <v>11308.64491811649</v>
      </c>
      <c r="Y64">
        <v>106.8</v>
      </c>
      <c r="Z64">
        <v>52486.396441634577</v>
      </c>
      <c r="AA64" s="11">
        <f t="shared" si="0"/>
        <v>100.13580228363364</v>
      </c>
      <c r="AB64">
        <v>128.5</v>
      </c>
      <c r="AC64">
        <v>113.2</v>
      </c>
      <c r="AD64" s="16">
        <v>30438614.181732602</v>
      </c>
      <c r="AF64" s="15">
        <v>62.185401409999997</v>
      </c>
      <c r="AG64">
        <v>74.902482739999996</v>
      </c>
      <c r="AH64">
        <v>44165.722499999618</v>
      </c>
      <c r="AI64" s="11">
        <f t="shared" si="1"/>
        <v>113.35600459629312</v>
      </c>
      <c r="AJ64">
        <v>33350</v>
      </c>
    </row>
    <row r="65" spans="1:36" x14ac:dyDescent="0.25">
      <c r="A65" s="1">
        <v>44562</v>
      </c>
      <c r="B65">
        <v>32918078897000</v>
      </c>
      <c r="C65" s="6">
        <v>108.537603</v>
      </c>
      <c r="D65">
        <v>1969556894</v>
      </c>
      <c r="E65">
        <v>1240965995.6100001</v>
      </c>
      <c r="F65">
        <v>1435027473</v>
      </c>
      <c r="G65">
        <v>2116618202</v>
      </c>
      <c r="H65">
        <v>7331</v>
      </c>
      <c r="I65">
        <v>100.66</v>
      </c>
      <c r="J65">
        <v>100.93</v>
      </c>
      <c r="K65">
        <v>101.41</v>
      </c>
      <c r="L65">
        <v>28656903413000</v>
      </c>
      <c r="M65">
        <v>145254579773000</v>
      </c>
      <c r="N65">
        <v>5.2616449999999997</v>
      </c>
      <c r="O65">
        <v>18.418877999999999</v>
      </c>
      <c r="P65" s="25">
        <v>10828.634516129032</v>
      </c>
      <c r="Q65">
        <v>103</v>
      </c>
      <c r="R65" s="5">
        <v>1314.6050506363899</v>
      </c>
      <c r="S65" s="8">
        <v>881.50131649190939</v>
      </c>
      <c r="T65" s="9">
        <v>4260971</v>
      </c>
      <c r="U65" s="9">
        <v>17693</v>
      </c>
      <c r="V65" s="9">
        <v>113182</v>
      </c>
      <c r="W65">
        <v>106.4</v>
      </c>
      <c r="X65">
        <v>5854.9392000000007</v>
      </c>
      <c r="Y65">
        <v>99.9</v>
      </c>
      <c r="Z65">
        <v>29041.760999999995</v>
      </c>
      <c r="AA65" s="11">
        <f t="shared" si="0"/>
        <v>108.5</v>
      </c>
      <c r="AB65">
        <v>111.4</v>
      </c>
      <c r="AC65">
        <v>115.8</v>
      </c>
      <c r="AD65" s="16">
        <v>17318222.461799998</v>
      </c>
      <c r="AF65" s="15">
        <v>59.252718520000009</v>
      </c>
      <c r="AG65">
        <v>76.134016590000016</v>
      </c>
      <c r="AH65">
        <v>22454.628799999999</v>
      </c>
      <c r="AI65" s="11">
        <f t="shared" si="1"/>
        <v>109.59999999999998</v>
      </c>
      <c r="AJ65">
        <v>27920</v>
      </c>
    </row>
    <row r="66" spans="1:36" x14ac:dyDescent="0.25">
      <c r="A66" s="1">
        <v>44593</v>
      </c>
      <c r="B66">
        <v>66734654057000.008</v>
      </c>
      <c r="C66" s="6">
        <v>107.37041499999999</v>
      </c>
      <c r="D66">
        <v>4346826471</v>
      </c>
      <c r="E66">
        <v>3767262570.1999998</v>
      </c>
      <c r="F66">
        <v>4150085680</v>
      </c>
      <c r="G66">
        <v>4621433287</v>
      </c>
      <c r="H66">
        <v>15851</v>
      </c>
      <c r="I66">
        <v>100.46</v>
      </c>
      <c r="J66">
        <v>100.52</v>
      </c>
      <c r="K66">
        <v>101.12</v>
      </c>
      <c r="L66">
        <v>26484726525000</v>
      </c>
      <c r="M66">
        <v>136141722560000</v>
      </c>
      <c r="N66">
        <v>5.1874459999999996</v>
      </c>
      <c r="O66">
        <v>18.541903000000001</v>
      </c>
      <c r="P66" s="25">
        <v>10846.198928571426</v>
      </c>
      <c r="Q66">
        <v>105.5</v>
      </c>
      <c r="R66" s="5">
        <v>1335.2604501523674</v>
      </c>
      <c r="S66" s="8">
        <v>1085.279934037007</v>
      </c>
      <c r="T66" s="9">
        <v>4964610</v>
      </c>
      <c r="U66" s="9">
        <v>21964</v>
      </c>
      <c r="V66" s="9">
        <v>128371</v>
      </c>
      <c r="W66">
        <v>105.3</v>
      </c>
      <c r="X66">
        <v>5024.0541239677614</v>
      </c>
      <c r="Y66">
        <v>102</v>
      </c>
      <c r="Z66">
        <v>30000.351335311592</v>
      </c>
      <c r="AA66" s="11">
        <f t="shared" si="0"/>
        <v>106.15701549491806</v>
      </c>
      <c r="AB66">
        <v>112.4</v>
      </c>
      <c r="AC66">
        <v>113.1</v>
      </c>
      <c r="AD66" s="16">
        <v>18449584.029347394</v>
      </c>
      <c r="AF66" s="15">
        <v>59.962008940000004</v>
      </c>
      <c r="AG66">
        <v>78.555050340000008</v>
      </c>
      <c r="AH66">
        <v>24268.438377843719</v>
      </c>
      <c r="AI66" s="11">
        <f t="shared" si="1"/>
        <v>105.99360374009538</v>
      </c>
      <c r="AJ66">
        <v>28595</v>
      </c>
    </row>
    <row r="67" spans="1:36" x14ac:dyDescent="0.25">
      <c r="A67" s="1">
        <v>44621</v>
      </c>
      <c r="B67">
        <v>113990200000000</v>
      </c>
      <c r="C67" s="6">
        <v>105.7</v>
      </c>
      <c r="D67">
        <v>6883293586</v>
      </c>
      <c r="E67">
        <v>5211568494.0999994</v>
      </c>
      <c r="F67">
        <v>5843721523</v>
      </c>
      <c r="G67">
        <v>7365634604</v>
      </c>
      <c r="H67">
        <v>25026</v>
      </c>
      <c r="I67">
        <v>100.39</v>
      </c>
      <c r="J67">
        <v>101.87</v>
      </c>
      <c r="K67">
        <v>102.65</v>
      </c>
      <c r="L67">
        <v>25954808212000</v>
      </c>
      <c r="M67">
        <v>133739061034000.02</v>
      </c>
      <c r="N67">
        <v>4.8745430000000001</v>
      </c>
      <c r="O67">
        <v>18.499500000000001</v>
      </c>
      <c r="P67" s="25">
        <v>11210.986451612898</v>
      </c>
      <c r="Q67">
        <v>106.5</v>
      </c>
      <c r="R67" s="5">
        <v>1159.6023488059179</v>
      </c>
      <c r="S67" s="8">
        <v>1025.607357416407</v>
      </c>
      <c r="T67" s="9">
        <v>5009790</v>
      </c>
      <c r="U67" s="9">
        <v>20296</v>
      </c>
      <c r="V67" s="9">
        <v>112131</v>
      </c>
      <c r="W67">
        <v>103.5</v>
      </c>
      <c r="X67">
        <v>9764.8716650960141</v>
      </c>
      <c r="Y67">
        <v>106.7</v>
      </c>
      <c r="Z67">
        <v>35997.043524155401</v>
      </c>
      <c r="AA67" s="11">
        <f t="shared" si="0"/>
        <v>100.09792188229515</v>
      </c>
      <c r="AB67">
        <v>114.5</v>
      </c>
      <c r="AC67">
        <v>110.5</v>
      </c>
      <c r="AD67" s="16">
        <v>18944448.584548928</v>
      </c>
      <c r="AF67" s="15">
        <v>54.131684300000003</v>
      </c>
      <c r="AG67">
        <v>74.405102130000003</v>
      </c>
      <c r="AH67">
        <v>29565.831452850194</v>
      </c>
      <c r="AI67" s="11">
        <f t="shared" si="1"/>
        <v>100.10813611060144</v>
      </c>
      <c r="AJ67">
        <v>32372</v>
      </c>
    </row>
    <row r="68" spans="1:36" x14ac:dyDescent="0.25">
      <c r="A68" s="1">
        <v>44652</v>
      </c>
      <c r="B68">
        <v>154321416161000</v>
      </c>
      <c r="C68" s="6">
        <v>105.93606</v>
      </c>
      <c r="D68">
        <v>9386068665</v>
      </c>
      <c r="E68">
        <v>6279796668.6000004</v>
      </c>
      <c r="F68">
        <v>7211027422</v>
      </c>
      <c r="G68">
        <v>10049376027</v>
      </c>
      <c r="H68">
        <v>34223</v>
      </c>
      <c r="I68">
        <v>100.47</v>
      </c>
      <c r="J68">
        <v>101.76</v>
      </c>
      <c r="K68">
        <v>101.1</v>
      </c>
      <c r="L68">
        <v>27854285950000</v>
      </c>
      <c r="M68">
        <v>138356963794000.02</v>
      </c>
      <c r="N68">
        <v>5.2211119999999998</v>
      </c>
      <c r="O68">
        <v>19.679600000000001</v>
      </c>
      <c r="P68" s="25">
        <v>11314.66433333333</v>
      </c>
      <c r="Q68">
        <v>106</v>
      </c>
      <c r="R68" s="5">
        <v>1351.4863755674071</v>
      </c>
      <c r="S68" s="8">
        <v>1099.5526214767751</v>
      </c>
      <c r="T68" s="9">
        <v>5436993</v>
      </c>
      <c r="U68" s="9">
        <v>23370</v>
      </c>
      <c r="V68" s="9">
        <v>129068</v>
      </c>
      <c r="W68">
        <v>103.8</v>
      </c>
      <c r="X68">
        <v>10261.990358709161</v>
      </c>
      <c r="Y68">
        <v>102.9</v>
      </c>
      <c r="Z68">
        <v>33214.676162246877</v>
      </c>
      <c r="AA68" s="11">
        <f t="shared" si="0"/>
        <v>103.86274538770392</v>
      </c>
      <c r="AB68">
        <v>119</v>
      </c>
      <c r="AC68">
        <v>110.8</v>
      </c>
      <c r="AD68" s="16">
        <v>19349488.680578787</v>
      </c>
      <c r="AF68" s="15">
        <v>54.270562630000001</v>
      </c>
      <c r="AG68">
        <v>78.062069500000007</v>
      </c>
      <c r="AH68">
        <v>27784.884017837161</v>
      </c>
      <c r="AI68" s="11">
        <f t="shared" si="1"/>
        <v>105.12732618977978</v>
      </c>
      <c r="AJ68">
        <v>37041</v>
      </c>
    </row>
    <row r="69" spans="1:36" x14ac:dyDescent="0.25">
      <c r="A69" s="1">
        <v>44682</v>
      </c>
      <c r="B69">
        <v>196894657709000</v>
      </c>
      <c r="C69" s="6">
        <v>106.004</v>
      </c>
      <c r="D69">
        <v>11240530463.120001</v>
      </c>
      <c r="E69">
        <v>7243400558.3199997</v>
      </c>
      <c r="F69">
        <v>8468100489</v>
      </c>
      <c r="G69">
        <v>12112727548</v>
      </c>
      <c r="H69">
        <v>42652</v>
      </c>
      <c r="I69">
        <v>100.41</v>
      </c>
      <c r="J69">
        <v>101.21</v>
      </c>
      <c r="K69">
        <v>101.1</v>
      </c>
      <c r="L69">
        <v>33124128693000</v>
      </c>
      <c r="M69">
        <v>150866135676000</v>
      </c>
      <c r="N69">
        <v>5.2148310000000002</v>
      </c>
      <c r="O69">
        <v>19.338051</v>
      </c>
      <c r="P69" s="25">
        <v>11119.410645161293</v>
      </c>
      <c r="Q69">
        <v>105.9</v>
      </c>
      <c r="R69" s="5">
        <v>1485.3156957927883</v>
      </c>
      <c r="S69" s="8">
        <v>954.81170970674282</v>
      </c>
      <c r="T69" s="9">
        <v>4976141</v>
      </c>
      <c r="U69" s="9">
        <v>19881</v>
      </c>
      <c r="V69" s="9">
        <v>109186</v>
      </c>
      <c r="W69">
        <v>103.8</v>
      </c>
      <c r="X69">
        <v>7802.0707155230284</v>
      </c>
      <c r="Y69">
        <v>103.4</v>
      </c>
      <c r="Z69">
        <v>35757.845465352781</v>
      </c>
      <c r="AA69" s="11">
        <f t="shared" si="0"/>
        <v>103.54926263757977</v>
      </c>
      <c r="AB69">
        <v>118.6</v>
      </c>
      <c r="AC69">
        <v>110.1</v>
      </c>
      <c r="AD69" s="16">
        <v>20637134.785867274</v>
      </c>
      <c r="AF69" s="15">
        <v>45.454959420000002</v>
      </c>
      <c r="AG69">
        <v>57.652864570000006</v>
      </c>
      <c r="AH69">
        <v>30361.980325705383</v>
      </c>
      <c r="AI69" s="11">
        <f t="shared" si="1"/>
        <v>104.44478495334826</v>
      </c>
      <c r="AJ69">
        <v>36045</v>
      </c>
    </row>
    <row r="70" spans="1:36" x14ac:dyDescent="0.25">
      <c r="A70" s="1">
        <v>44713</v>
      </c>
      <c r="B70">
        <v>251372832247000</v>
      </c>
      <c r="C70" s="6">
        <v>105.117009</v>
      </c>
      <c r="D70">
        <v>13469188452.540001</v>
      </c>
      <c r="E70">
        <v>8308163330.6069994</v>
      </c>
      <c r="F70">
        <v>9870381486</v>
      </c>
      <c r="G70">
        <v>14555986770</v>
      </c>
      <c r="H70">
        <v>51708</v>
      </c>
      <c r="I70">
        <v>100.83</v>
      </c>
      <c r="J70">
        <v>100.98</v>
      </c>
      <c r="K70">
        <v>103.6</v>
      </c>
      <c r="L70">
        <v>36866938254000</v>
      </c>
      <c r="M70">
        <v>164129351095000</v>
      </c>
      <c r="N70">
        <v>4.815544</v>
      </c>
      <c r="O70">
        <v>19.611943</v>
      </c>
      <c r="P70" s="25">
        <v>10947.360000000002</v>
      </c>
      <c r="Q70">
        <v>104.5</v>
      </c>
      <c r="R70" s="5">
        <v>1513.347079920037</v>
      </c>
      <c r="S70" s="8">
        <v>1062.4706280820924</v>
      </c>
      <c r="T70" s="9">
        <v>5692230</v>
      </c>
      <c r="U70" s="9">
        <v>22775</v>
      </c>
      <c r="V70" s="9">
        <v>120028</v>
      </c>
      <c r="W70">
        <v>103</v>
      </c>
      <c r="X70">
        <v>11410.92234160033</v>
      </c>
      <c r="Y70">
        <v>105.1</v>
      </c>
      <c r="Z70">
        <v>36877.801533752579</v>
      </c>
      <c r="AA70" s="11">
        <f t="shared" si="0"/>
        <v>96.445751307877217</v>
      </c>
      <c r="AB70">
        <v>122.8</v>
      </c>
      <c r="AC70">
        <v>109.9</v>
      </c>
      <c r="AD70" s="16">
        <v>21327190.662762735</v>
      </c>
      <c r="AF70" s="15">
        <v>54.895374709999999</v>
      </c>
      <c r="AG70">
        <v>71.741441120000005</v>
      </c>
      <c r="AH70">
        <v>31659.674651175173</v>
      </c>
      <c r="AI70" s="11">
        <f t="shared" si="1"/>
        <v>95.845795707567135</v>
      </c>
      <c r="AJ70">
        <v>38684</v>
      </c>
    </row>
    <row r="71" spans="1:36" x14ac:dyDescent="0.25">
      <c r="A71" s="1">
        <v>44743</v>
      </c>
      <c r="B71">
        <v>293026069000000</v>
      </c>
      <c r="C71" s="6">
        <v>105.541</v>
      </c>
      <c r="D71">
        <v>15562317753</v>
      </c>
      <c r="E71">
        <v>9204745153.8800011</v>
      </c>
      <c r="F71">
        <v>11412692838</v>
      </c>
      <c r="G71">
        <v>16957985568</v>
      </c>
      <c r="H71">
        <v>57814</v>
      </c>
      <c r="I71">
        <v>100.28</v>
      </c>
      <c r="J71">
        <v>99.82</v>
      </c>
      <c r="K71">
        <v>100.1</v>
      </c>
      <c r="L71">
        <v>40512165876000</v>
      </c>
      <c r="M71">
        <v>164074130177000</v>
      </c>
      <c r="N71">
        <v>4.8155789999999996</v>
      </c>
      <c r="O71">
        <v>19.982399999999998</v>
      </c>
      <c r="P71" s="25">
        <v>10913.899032258065</v>
      </c>
      <c r="Q71">
        <v>104</v>
      </c>
      <c r="R71" s="5">
        <v>1113.0423705125761</v>
      </c>
      <c r="S71" s="8">
        <v>986.41861171401683</v>
      </c>
      <c r="T71" s="9">
        <v>5070450</v>
      </c>
      <c r="U71" s="9">
        <v>20282</v>
      </c>
      <c r="V71" s="9">
        <v>103011</v>
      </c>
      <c r="W71">
        <v>103.4</v>
      </c>
      <c r="X71">
        <v>9173.7526135002154</v>
      </c>
      <c r="Y71">
        <v>106.4</v>
      </c>
      <c r="Z71">
        <v>33063.121922615923</v>
      </c>
      <c r="AA71" s="11">
        <f t="shared" si="0"/>
        <v>103.01514354667454</v>
      </c>
      <c r="AB71">
        <v>120</v>
      </c>
      <c r="AC71">
        <v>111.2</v>
      </c>
      <c r="AD71" s="16">
        <v>21342613.488673143</v>
      </c>
      <c r="AF71" s="15">
        <v>53.164806050000003</v>
      </c>
      <c r="AG71">
        <v>68.782151069999998</v>
      </c>
      <c r="AH71">
        <v>27236.536033173601</v>
      </c>
      <c r="AI71" s="11">
        <f t="shared" si="1"/>
        <v>103.31227989712292</v>
      </c>
      <c r="AJ71">
        <v>38664</v>
      </c>
    </row>
    <row r="72" spans="1:36" x14ac:dyDescent="0.25">
      <c r="A72" s="1">
        <v>44774</v>
      </c>
      <c r="B72">
        <v>337993636852000</v>
      </c>
      <c r="C72" s="6">
        <v>105.541404</v>
      </c>
      <c r="D72">
        <v>17991997954</v>
      </c>
      <c r="E72">
        <v>10223887822.380001</v>
      </c>
      <c r="F72">
        <v>12857450054</v>
      </c>
      <c r="G72">
        <v>19644997836</v>
      </c>
      <c r="H72">
        <v>63542</v>
      </c>
      <c r="I72">
        <v>100.39</v>
      </c>
      <c r="J72">
        <v>100.56</v>
      </c>
      <c r="K72">
        <v>101.3</v>
      </c>
      <c r="L72">
        <v>42382122778000</v>
      </c>
      <c r="M72">
        <v>164726019513000</v>
      </c>
      <c r="N72">
        <v>4.8433440000000001</v>
      </c>
      <c r="O72">
        <v>20.274228999999998</v>
      </c>
      <c r="P72" s="25">
        <v>10919.831935483873</v>
      </c>
      <c r="Q72">
        <v>103.7</v>
      </c>
      <c r="R72" s="5">
        <v>1134.7892921459713</v>
      </c>
      <c r="S72" s="8">
        <v>1072.1247839747939</v>
      </c>
      <c r="T72" s="9">
        <v>5722646</v>
      </c>
      <c r="U72" s="9">
        <v>26457</v>
      </c>
      <c r="V72" s="9">
        <v>119316</v>
      </c>
      <c r="W72">
        <v>103.4</v>
      </c>
      <c r="X72">
        <v>8806.9000983432925</v>
      </c>
      <c r="Y72">
        <v>105.8</v>
      </c>
      <c r="Z72">
        <v>34088.557511579973</v>
      </c>
      <c r="AA72" s="11">
        <f t="shared" si="0"/>
        <v>100.54862289554714</v>
      </c>
      <c r="AB72">
        <v>119.1</v>
      </c>
      <c r="AC72">
        <v>111.3</v>
      </c>
      <c r="AD72" s="16">
        <v>21345946.214614183</v>
      </c>
      <c r="AF72" s="15">
        <v>64.178382040000002</v>
      </c>
      <c r="AG72">
        <v>73.935943890000019</v>
      </c>
      <c r="AH72">
        <v>28308.497662564292</v>
      </c>
      <c r="AI72" s="11">
        <f t="shared" si="1"/>
        <v>100.83454315022642</v>
      </c>
      <c r="AJ72">
        <v>43806</v>
      </c>
    </row>
    <row r="73" spans="1:36" x14ac:dyDescent="0.25">
      <c r="A73" s="1">
        <v>44805</v>
      </c>
      <c r="B73">
        <v>391948429728000</v>
      </c>
      <c r="C73" s="6">
        <v>105.345742</v>
      </c>
      <c r="D73">
        <v>20395288929</v>
      </c>
      <c r="E73">
        <v>11171379340.379999</v>
      </c>
      <c r="F73">
        <v>14369173340</v>
      </c>
      <c r="G73">
        <v>22283044469</v>
      </c>
      <c r="H73">
        <v>72022</v>
      </c>
      <c r="I73">
        <v>100.84</v>
      </c>
      <c r="J73">
        <v>101.08</v>
      </c>
      <c r="K73">
        <v>99.7</v>
      </c>
      <c r="L73">
        <v>42303148281000</v>
      </c>
      <c r="M73">
        <v>173780797013000</v>
      </c>
      <c r="N73">
        <v>4.6425729999999996</v>
      </c>
      <c r="O73">
        <v>18.712710999999999</v>
      </c>
      <c r="P73" s="25">
        <v>10973.390333333336</v>
      </c>
      <c r="Q73">
        <v>103.5</v>
      </c>
      <c r="R73" s="5">
        <v>1147.0908456014408</v>
      </c>
      <c r="S73" s="8">
        <v>964.57347983063357</v>
      </c>
      <c r="T73" s="9">
        <v>5522025</v>
      </c>
      <c r="U73" s="9">
        <v>23061</v>
      </c>
      <c r="V73" s="9">
        <v>122843</v>
      </c>
      <c r="W73">
        <v>103.2</v>
      </c>
      <c r="X73">
        <v>10765.198156912971</v>
      </c>
      <c r="Y73">
        <v>106.6</v>
      </c>
      <c r="Z73">
        <v>42206.772489783994</v>
      </c>
      <c r="AA73" s="11">
        <f t="shared" si="0"/>
        <v>100.11251226869271</v>
      </c>
      <c r="AB73">
        <v>118.4</v>
      </c>
      <c r="AC73">
        <v>110.8</v>
      </c>
      <c r="AD73" s="16">
        <v>22912392.475495625</v>
      </c>
      <c r="AF73" s="15">
        <v>65.067408910000012</v>
      </c>
      <c r="AG73">
        <v>73.38003827</v>
      </c>
      <c r="AH73">
        <v>35920.029119252307</v>
      </c>
      <c r="AI73" s="11">
        <f t="shared" si="1"/>
        <v>99.148796493539265</v>
      </c>
      <c r="AJ73">
        <v>34338</v>
      </c>
    </row>
    <row r="74" spans="1:36" x14ac:dyDescent="0.25">
      <c r="A74" s="1">
        <v>44835</v>
      </c>
      <c r="B74">
        <v>439920948213000</v>
      </c>
      <c r="C74" s="6">
        <v>105.429907</v>
      </c>
      <c r="D74">
        <v>22756328417</v>
      </c>
      <c r="E74">
        <v>12182634896.58</v>
      </c>
      <c r="F74">
        <v>15851962830</v>
      </c>
      <c r="G74">
        <v>24865914950</v>
      </c>
      <c r="H74">
        <v>79833</v>
      </c>
      <c r="I74">
        <v>101.46</v>
      </c>
      <c r="J74">
        <v>101.18</v>
      </c>
      <c r="K74">
        <v>101.8</v>
      </c>
      <c r="L74">
        <v>43786202671000</v>
      </c>
      <c r="M74">
        <v>179776583084000</v>
      </c>
      <c r="N74">
        <v>4.2357259999999997</v>
      </c>
      <c r="O74">
        <v>19.304784999999999</v>
      </c>
      <c r="P74" s="25">
        <v>11099.347419354839</v>
      </c>
      <c r="Q74">
        <v>103.1</v>
      </c>
      <c r="R74" s="5">
        <v>1088.7466417683697</v>
      </c>
      <c r="S74" s="8">
        <v>1021.8053005045664</v>
      </c>
      <c r="T74" s="9">
        <v>5713822</v>
      </c>
      <c r="U74" s="9">
        <v>22511</v>
      </c>
      <c r="V74" s="9">
        <v>112738</v>
      </c>
      <c r="W74">
        <v>103.3</v>
      </c>
      <c r="X74">
        <v>7999.0184576171514</v>
      </c>
      <c r="Y74">
        <v>105.4</v>
      </c>
      <c r="Z74">
        <v>38744.707538227602</v>
      </c>
      <c r="AA74" s="11">
        <f t="shared" si="0"/>
        <v>102.89714874005097</v>
      </c>
      <c r="AB74">
        <v>126</v>
      </c>
      <c r="AC74">
        <v>111.7</v>
      </c>
      <c r="AD74" s="16">
        <v>23968258.006506544</v>
      </c>
      <c r="AF74" s="15">
        <v>53.889043540000003</v>
      </c>
      <c r="AG74">
        <v>61.667634280000001</v>
      </c>
      <c r="AH74">
        <v>32066.372440103481</v>
      </c>
      <c r="AI74" s="11">
        <f t="shared" si="1"/>
        <v>103.84874018865595</v>
      </c>
      <c r="AJ74">
        <v>34782</v>
      </c>
    </row>
    <row r="75" spans="1:36" x14ac:dyDescent="0.25">
      <c r="A75" s="1">
        <v>44866</v>
      </c>
      <c r="B75">
        <v>486999243576000</v>
      </c>
      <c r="C75" s="6">
        <v>105.445323</v>
      </c>
      <c r="D75">
        <v>25336890101</v>
      </c>
      <c r="E75">
        <v>13745797410.882</v>
      </c>
      <c r="F75">
        <v>17768304722</v>
      </c>
      <c r="G75">
        <v>27659177111</v>
      </c>
      <c r="H75">
        <v>86810</v>
      </c>
      <c r="I75">
        <v>100.8</v>
      </c>
      <c r="J75">
        <v>101.49</v>
      </c>
      <c r="K75">
        <v>101.5</v>
      </c>
      <c r="L75">
        <v>43778377791000</v>
      </c>
      <c r="M75">
        <v>176920200787000</v>
      </c>
      <c r="N75">
        <v>3.9533429999999998</v>
      </c>
      <c r="O75">
        <v>19.122271999999999</v>
      </c>
      <c r="P75" s="25">
        <v>11185.905666666666</v>
      </c>
      <c r="Q75">
        <v>103.2</v>
      </c>
      <c r="R75" s="5">
        <v>1093.8078696498851</v>
      </c>
      <c r="S75" s="8">
        <v>1039.5008417302211</v>
      </c>
      <c r="T75" s="9">
        <v>6125196</v>
      </c>
      <c r="U75" s="9">
        <v>24270</v>
      </c>
      <c r="V75" s="9">
        <v>159312</v>
      </c>
      <c r="W75">
        <v>103.3</v>
      </c>
      <c r="X75">
        <v>8616.3205210462547</v>
      </c>
      <c r="Y75">
        <v>105.5</v>
      </c>
      <c r="Z75">
        <v>37851.603050430269</v>
      </c>
      <c r="AA75" s="11">
        <f t="shared" si="0"/>
        <v>102.4590887650761</v>
      </c>
      <c r="AB75">
        <v>126.9</v>
      </c>
      <c r="AC75">
        <v>111.9</v>
      </c>
      <c r="AD75" s="16">
        <v>25519272.433916233</v>
      </c>
      <c r="AF75" s="15">
        <v>53.248356979999997</v>
      </c>
      <c r="AG75">
        <v>60.090641360000006</v>
      </c>
      <c r="AH75">
        <v>31194.509213990608</v>
      </c>
      <c r="AI75" s="11">
        <f t="shared" si="1"/>
        <v>103.60429857807041</v>
      </c>
      <c r="AJ75">
        <v>34863</v>
      </c>
    </row>
    <row r="76" spans="1:36" x14ac:dyDescent="0.25">
      <c r="A76" s="1">
        <v>44896</v>
      </c>
      <c r="B76">
        <v>553265047016000</v>
      </c>
      <c r="C76" s="6">
        <v>105.3</v>
      </c>
      <c r="D76">
        <v>28172930647.360001</v>
      </c>
      <c r="E76">
        <v>15349648984.858</v>
      </c>
      <c r="F76">
        <v>19309107929</v>
      </c>
      <c r="G76">
        <v>30699264276</v>
      </c>
      <c r="H76">
        <v>93611</v>
      </c>
      <c r="I76">
        <v>101.06</v>
      </c>
      <c r="J76">
        <v>101.28</v>
      </c>
      <c r="K76">
        <v>100.6</v>
      </c>
      <c r="L76">
        <v>41324238408000</v>
      </c>
      <c r="M76">
        <v>182857002399000</v>
      </c>
      <c r="N76">
        <v>3.5322710000000002</v>
      </c>
      <c r="O76">
        <v>19.565541</v>
      </c>
      <c r="P76" s="25">
        <v>11242.115806451611</v>
      </c>
      <c r="Q76">
        <v>103.5</v>
      </c>
      <c r="R76" s="5">
        <v>1032.8899868920548</v>
      </c>
      <c r="S76" s="8">
        <v>1053.6453710271828</v>
      </c>
      <c r="T76" s="9">
        <v>6427421</v>
      </c>
      <c r="U76" s="9">
        <v>15180</v>
      </c>
      <c r="V76" s="9">
        <v>107737</v>
      </c>
      <c r="W76">
        <v>103.2</v>
      </c>
      <c r="X76">
        <v>12736.301942175047</v>
      </c>
      <c r="Y76">
        <v>106.6</v>
      </c>
      <c r="Z76">
        <v>52773.798351182057</v>
      </c>
      <c r="AA76" s="11">
        <f t="shared" si="0"/>
        <v>100.54757409354073</v>
      </c>
      <c r="AB76">
        <v>126.8</v>
      </c>
      <c r="AC76">
        <v>112.3</v>
      </c>
      <c r="AD76" s="16">
        <v>34145261.378174171</v>
      </c>
      <c r="AF76" s="15">
        <v>57.146318030000003</v>
      </c>
      <c r="AG76">
        <v>67.469006080000014</v>
      </c>
      <c r="AH76">
        <v>44218.163079776474</v>
      </c>
      <c r="AI76" s="11">
        <f t="shared" si="1"/>
        <v>100.11873592643448</v>
      </c>
      <c r="AJ76">
        <v>35880</v>
      </c>
    </row>
    <row r="77" spans="1:36" x14ac:dyDescent="0.25">
      <c r="A77" s="1">
        <v>44927</v>
      </c>
      <c r="B77">
        <v>33575397520000</v>
      </c>
      <c r="C77" s="6">
        <v>90.145725999999996</v>
      </c>
      <c r="D77">
        <v>2810113749</v>
      </c>
      <c r="E77">
        <v>1984599443.076</v>
      </c>
      <c r="F77">
        <v>2082788394.0000002</v>
      </c>
      <c r="G77">
        <v>2959668630</v>
      </c>
      <c r="H77">
        <v>6075</v>
      </c>
      <c r="I77">
        <v>100.68</v>
      </c>
      <c r="J77">
        <v>100.86</v>
      </c>
      <c r="K77">
        <v>101.49</v>
      </c>
      <c r="L77">
        <v>42206170803000</v>
      </c>
      <c r="M77">
        <v>189085083110000</v>
      </c>
      <c r="N77">
        <v>3.7521819999999999</v>
      </c>
      <c r="O77">
        <v>19.743731</v>
      </c>
      <c r="P77" s="25">
        <v>11293.89741935484</v>
      </c>
      <c r="Q77">
        <v>105</v>
      </c>
      <c r="R77" s="5">
        <v>1145.7079798389607</v>
      </c>
      <c r="S77" s="8">
        <v>1000.9348198721633</v>
      </c>
      <c r="T77" s="9">
        <v>4737773</v>
      </c>
      <c r="U77" s="9">
        <v>18164</v>
      </c>
      <c r="V77" s="9">
        <v>126675</v>
      </c>
      <c r="W77">
        <v>88.3</v>
      </c>
      <c r="X77">
        <v>3881.8246896000001</v>
      </c>
      <c r="Y77">
        <v>66.3</v>
      </c>
      <c r="Z77">
        <v>26166.626660999995</v>
      </c>
      <c r="AA77" s="11">
        <f t="shared" si="0"/>
        <v>90.100000000000009</v>
      </c>
      <c r="AB77">
        <v>103.3</v>
      </c>
      <c r="AC77">
        <v>91.4</v>
      </c>
      <c r="AD77" s="16">
        <v>15828855.330085199</v>
      </c>
      <c r="AF77" s="15">
        <v>54.209796089999998</v>
      </c>
      <c r="AG77">
        <v>76.21130162</v>
      </c>
      <c r="AH77">
        <v>19872.346487999999</v>
      </c>
      <c r="AI77" s="11">
        <f t="shared" si="1"/>
        <v>88.5</v>
      </c>
      <c r="AJ77">
        <v>42520</v>
      </c>
    </row>
    <row r="78" spans="1:36" x14ac:dyDescent="0.25">
      <c r="A78" s="1">
        <v>44958</v>
      </c>
      <c r="B78">
        <v>72815395789000</v>
      </c>
      <c r="C78" s="6">
        <v>96.129454999999993</v>
      </c>
      <c r="D78">
        <v>5485022189</v>
      </c>
      <c r="E78">
        <v>2602709869.1099997</v>
      </c>
      <c r="F78">
        <v>3164645651</v>
      </c>
      <c r="G78">
        <v>5783272671</v>
      </c>
      <c r="H78">
        <v>14677</v>
      </c>
      <c r="I78">
        <v>100.53</v>
      </c>
      <c r="J78">
        <v>100.55</v>
      </c>
      <c r="K78">
        <v>100.73</v>
      </c>
      <c r="L78">
        <v>40297031602000</v>
      </c>
      <c r="M78">
        <v>183286996799000</v>
      </c>
      <c r="N78">
        <v>3.7252830000000001</v>
      </c>
      <c r="O78">
        <v>19.803218999999999</v>
      </c>
      <c r="P78" s="25">
        <v>11331.91928571429</v>
      </c>
      <c r="Q78">
        <v>104</v>
      </c>
      <c r="R78" s="5">
        <v>1037.389785698577</v>
      </c>
      <c r="S78" s="8">
        <v>1026.9204005362703</v>
      </c>
      <c r="T78" s="9">
        <v>5320835</v>
      </c>
      <c r="U78" s="9">
        <v>22536</v>
      </c>
      <c r="V78" s="9">
        <v>123471</v>
      </c>
      <c r="W78">
        <v>94.2</v>
      </c>
      <c r="X78">
        <v>6106.5420871295</v>
      </c>
      <c r="Y78">
        <v>91.9</v>
      </c>
      <c r="Z78">
        <v>30675.250255412127</v>
      </c>
      <c r="AA78" s="11">
        <f t="shared" si="0"/>
        <v>102.24963672110783</v>
      </c>
      <c r="AB78">
        <v>106.9</v>
      </c>
      <c r="AC78">
        <v>100.2</v>
      </c>
      <c r="AD78" s="16">
        <v>19996634.994202878</v>
      </c>
      <c r="AF78" s="15">
        <v>57.653518219999995</v>
      </c>
      <c r="AG78">
        <v>79.569863749999996</v>
      </c>
      <c r="AH78">
        <v>24642.663884806352</v>
      </c>
      <c r="AI78" s="11">
        <f t="shared" si="1"/>
        <v>101.54202549474418</v>
      </c>
      <c r="AJ78">
        <v>42925</v>
      </c>
    </row>
    <row r="79" spans="1:36" x14ac:dyDescent="0.25">
      <c r="A79" s="1">
        <v>44986</v>
      </c>
      <c r="B79">
        <v>130997600000000</v>
      </c>
      <c r="C79" s="6">
        <v>104.05543</v>
      </c>
      <c r="D79">
        <v>8595368657</v>
      </c>
      <c r="E79">
        <v>4748202282.8599997</v>
      </c>
      <c r="F79">
        <v>5688903478</v>
      </c>
      <c r="G79">
        <v>9090765014</v>
      </c>
      <c r="H79">
        <v>23891</v>
      </c>
      <c r="I79">
        <v>100.38</v>
      </c>
      <c r="J79">
        <v>101.2</v>
      </c>
      <c r="K79">
        <v>100.53</v>
      </c>
      <c r="L79">
        <v>38881322284000</v>
      </c>
      <c r="M79">
        <v>178910607085000</v>
      </c>
      <c r="N79">
        <v>3.4438260000000001</v>
      </c>
      <c r="O79">
        <v>19.286735</v>
      </c>
      <c r="P79" s="25">
        <v>11396.960645161293</v>
      </c>
      <c r="Q79">
        <v>105.1</v>
      </c>
      <c r="R79" s="5">
        <v>1109.7985740957945</v>
      </c>
      <c r="S79" s="8">
        <v>1041.6493467837358</v>
      </c>
      <c r="T79" s="9">
        <v>5654688</v>
      </c>
      <c r="U79" s="9">
        <v>20893</v>
      </c>
      <c r="V79" s="9">
        <v>123356</v>
      </c>
      <c r="W79">
        <v>101.9</v>
      </c>
      <c r="X79">
        <v>11503.950359967865</v>
      </c>
      <c r="Y79">
        <v>104</v>
      </c>
      <c r="Z79">
        <v>43138.618832649052</v>
      </c>
      <c r="AA79" s="11">
        <f t="shared" si="0"/>
        <v>119.83933848262116</v>
      </c>
      <c r="AB79">
        <v>108.8</v>
      </c>
      <c r="AC79">
        <v>105.2</v>
      </c>
      <c r="AD79" s="16">
        <v>21817750.946501557</v>
      </c>
      <c r="AF79" s="15">
        <v>64.205864930000004</v>
      </c>
      <c r="AG79">
        <v>80.13334673</v>
      </c>
      <c r="AH79">
        <v>35909.049436333727</v>
      </c>
      <c r="AI79" s="11">
        <f t="shared" si="1"/>
        <v>121.45455639764205</v>
      </c>
      <c r="AJ79">
        <v>37569</v>
      </c>
    </row>
    <row r="80" spans="1:36" x14ac:dyDescent="0.25">
      <c r="A80" s="1">
        <v>45017</v>
      </c>
      <c r="B80">
        <v>179024300000000</v>
      </c>
      <c r="C80" s="6">
        <v>105</v>
      </c>
      <c r="D80">
        <v>11255587654</v>
      </c>
      <c r="E80">
        <v>6314942073.2310009</v>
      </c>
      <c r="F80">
        <v>7660802073</v>
      </c>
      <c r="G80">
        <v>11916213699</v>
      </c>
      <c r="H80">
        <v>31041</v>
      </c>
      <c r="I80">
        <v>100.52</v>
      </c>
      <c r="J80">
        <v>100.93</v>
      </c>
      <c r="K80">
        <v>99.71</v>
      </c>
      <c r="L80">
        <v>40295707569000</v>
      </c>
      <c r="M80">
        <v>180780401071000</v>
      </c>
      <c r="N80">
        <v>3.5091510000000001</v>
      </c>
      <c r="O80">
        <v>19.327549999999999</v>
      </c>
      <c r="P80" s="25">
        <v>11408.072999999999</v>
      </c>
      <c r="Q80">
        <v>105.5</v>
      </c>
      <c r="R80" s="5">
        <v>1001.1102744018457</v>
      </c>
      <c r="S80" s="8">
        <v>956.78969637650664</v>
      </c>
      <c r="T80" s="9">
        <v>5237429</v>
      </c>
      <c r="U80" s="9">
        <v>20185</v>
      </c>
      <c r="V80" s="9">
        <v>134727</v>
      </c>
      <c r="W80">
        <v>102.8</v>
      </c>
      <c r="X80">
        <v>10853.796622268415</v>
      </c>
      <c r="Y80">
        <v>104.2</v>
      </c>
      <c r="Z80">
        <v>37145.813288031386</v>
      </c>
      <c r="AA80" s="11">
        <f t="shared" si="0"/>
        <v>111.83554253722573</v>
      </c>
      <c r="AB80">
        <v>107.5</v>
      </c>
      <c r="AC80">
        <v>106.4</v>
      </c>
      <c r="AD80" s="16">
        <v>21534051.235481165</v>
      </c>
      <c r="AF80" s="15">
        <v>58.896280189999999</v>
      </c>
      <c r="AG80">
        <v>73.246604219999995</v>
      </c>
      <c r="AH80">
        <v>31314.058070697902</v>
      </c>
      <c r="AI80" s="11">
        <f t="shared" si="1"/>
        <v>112.70177716270152</v>
      </c>
      <c r="AJ80">
        <v>32174</v>
      </c>
    </row>
    <row r="81" spans="1:36" x14ac:dyDescent="0.25">
      <c r="A81" s="1">
        <v>45047</v>
      </c>
      <c r="B81">
        <v>231165172759000</v>
      </c>
      <c r="C81" s="6">
        <v>105.693787</v>
      </c>
      <c r="D81">
        <v>14470900481.483</v>
      </c>
      <c r="E81">
        <v>8587596016.4100008</v>
      </c>
      <c r="F81">
        <v>10511450962</v>
      </c>
      <c r="G81">
        <v>15306198425</v>
      </c>
      <c r="H81">
        <v>40100</v>
      </c>
      <c r="I81">
        <v>100.53</v>
      </c>
      <c r="J81">
        <v>100.48</v>
      </c>
      <c r="K81">
        <v>100.47</v>
      </c>
      <c r="L81">
        <v>43136797469000</v>
      </c>
      <c r="M81">
        <v>184776814765000</v>
      </c>
      <c r="N81">
        <v>3.416893</v>
      </c>
      <c r="O81">
        <v>20.174901999999999</v>
      </c>
      <c r="P81" s="25">
        <v>11441.298709677425</v>
      </c>
      <c r="Q81">
        <v>104.5</v>
      </c>
      <c r="R81" s="5">
        <v>1161.7177175808699</v>
      </c>
      <c r="S81" s="8">
        <v>1067.5912248316138</v>
      </c>
      <c r="T81" s="9">
        <v>5652560</v>
      </c>
      <c r="U81" s="9">
        <v>25545</v>
      </c>
      <c r="V81" s="9">
        <v>156007</v>
      </c>
      <c r="W81">
        <v>103.5</v>
      </c>
      <c r="X81">
        <v>8342.2806270543988</v>
      </c>
      <c r="Y81">
        <v>104.4</v>
      </c>
      <c r="Z81">
        <v>40542.890611258466</v>
      </c>
      <c r="AA81" s="11">
        <f t="shared" ref="AA81:AA108" si="2">+Z81/Z69*100</f>
        <v>113.3818049819084</v>
      </c>
      <c r="AB81">
        <v>110.9</v>
      </c>
      <c r="AC81">
        <v>107.2</v>
      </c>
      <c r="AD81" s="16">
        <v>23193697.839091804</v>
      </c>
      <c r="AF81" s="15">
        <v>60.437528180000001</v>
      </c>
      <c r="AG81">
        <v>75.371160009999997</v>
      </c>
      <c r="AH81">
        <v>34518.499417340005</v>
      </c>
      <c r="AI81" s="11">
        <f t="shared" si="1"/>
        <v>113.6898813814051</v>
      </c>
      <c r="AJ81">
        <v>33700</v>
      </c>
    </row>
    <row r="82" spans="1:36" x14ac:dyDescent="0.25">
      <c r="A82" s="1">
        <v>45078</v>
      </c>
      <c r="B82">
        <v>293614331334000</v>
      </c>
      <c r="C82" s="6">
        <v>105.56241</v>
      </c>
      <c r="D82">
        <v>16014988129</v>
      </c>
      <c r="E82">
        <v>9471428537.6800003</v>
      </c>
      <c r="F82">
        <v>12140014423</v>
      </c>
      <c r="G82">
        <v>17030541909</v>
      </c>
      <c r="H82">
        <v>47681</v>
      </c>
      <c r="I82">
        <v>100.22</v>
      </c>
      <c r="J82">
        <v>99.56</v>
      </c>
      <c r="K82">
        <v>99.9</v>
      </c>
      <c r="L82">
        <v>43843428981000</v>
      </c>
      <c r="M82">
        <v>184313435875000</v>
      </c>
      <c r="N82">
        <v>3.311639</v>
      </c>
      <c r="O82">
        <v>20.005006999999999</v>
      </c>
      <c r="P82" s="25">
        <v>11457.102333333334</v>
      </c>
      <c r="Q82">
        <v>105.6</v>
      </c>
      <c r="R82" s="5">
        <v>903.13439145084067</v>
      </c>
      <c r="S82" s="8">
        <v>921.6708492618543</v>
      </c>
      <c r="T82" s="9">
        <v>5052708</v>
      </c>
      <c r="U82" s="9">
        <v>23573</v>
      </c>
      <c r="V82" s="9">
        <v>123155</v>
      </c>
      <c r="W82">
        <v>103.3</v>
      </c>
      <c r="X82">
        <v>12865.633719978958</v>
      </c>
      <c r="Y82">
        <v>105.6</v>
      </c>
      <c r="Z82">
        <v>42182.080452823495</v>
      </c>
      <c r="AA82" s="11">
        <f t="shared" si="2"/>
        <v>114.38339244332705</v>
      </c>
      <c r="AB82">
        <v>108.8</v>
      </c>
      <c r="AC82">
        <v>106.9</v>
      </c>
      <c r="AD82" s="16">
        <v>23348112.416790064</v>
      </c>
      <c r="AF82" s="15">
        <v>57.420432169999998</v>
      </c>
      <c r="AG82">
        <v>73.731803060000004</v>
      </c>
      <c r="AH82">
        <v>36872.876058069152</v>
      </c>
      <c r="AI82" s="11">
        <f t="shared" ref="AI82:AI112" si="3">+AH82/AH70*100</f>
        <v>116.46637706904063</v>
      </c>
      <c r="AJ82">
        <v>28617</v>
      </c>
    </row>
    <row r="83" spans="1:36" x14ac:dyDescent="0.25">
      <c r="A83" s="1">
        <v>45108</v>
      </c>
      <c r="B83">
        <v>345042720000000</v>
      </c>
      <c r="C83" s="6">
        <v>105.7</v>
      </c>
      <c r="D83">
        <v>18765872460</v>
      </c>
      <c r="E83">
        <v>12018387242.57</v>
      </c>
      <c r="F83">
        <v>14954411755</v>
      </c>
      <c r="G83">
        <v>20021440066</v>
      </c>
      <c r="H83">
        <v>54783</v>
      </c>
      <c r="I83">
        <v>100.48</v>
      </c>
      <c r="J83">
        <v>99.65</v>
      </c>
      <c r="K83">
        <v>100.12</v>
      </c>
      <c r="L83">
        <v>47068196852000</v>
      </c>
      <c r="M83">
        <v>190134007362000</v>
      </c>
      <c r="N83">
        <v>3.5884740000000002</v>
      </c>
      <c r="O83">
        <v>20.460253000000002</v>
      </c>
      <c r="P83" s="25">
        <v>11574.214838709679</v>
      </c>
      <c r="Q83">
        <v>105.3</v>
      </c>
      <c r="R83" s="5">
        <v>1012.6058205284443</v>
      </c>
      <c r="S83" s="8">
        <v>1218.0724806273827</v>
      </c>
      <c r="T83" s="9">
        <v>5321188</v>
      </c>
      <c r="U83" s="9">
        <v>24877</v>
      </c>
      <c r="V83" s="9">
        <v>144482</v>
      </c>
      <c r="W83">
        <v>103.5</v>
      </c>
      <c r="X83">
        <v>10038.286542344291</v>
      </c>
      <c r="Y83">
        <v>105.7</v>
      </c>
      <c r="Z83">
        <v>38098.26092410097</v>
      </c>
      <c r="AA83" s="11">
        <f t="shared" si="2"/>
        <v>115.22886741690566</v>
      </c>
      <c r="AB83">
        <v>110.5</v>
      </c>
      <c r="AC83">
        <v>107.1</v>
      </c>
      <c r="AD83" s="16">
        <v>23967880.682785161</v>
      </c>
      <c r="AF83" s="15">
        <v>65.127327250000008</v>
      </c>
      <c r="AG83">
        <v>79.318607830000005</v>
      </c>
      <c r="AH83">
        <v>31994.138244703878</v>
      </c>
      <c r="AI83" s="11">
        <f t="shared" si="3"/>
        <v>117.46772132012531</v>
      </c>
      <c r="AJ83">
        <v>32721</v>
      </c>
    </row>
    <row r="84" spans="1:36" x14ac:dyDescent="0.25">
      <c r="A84" s="1">
        <v>45139</v>
      </c>
      <c r="B84">
        <v>400618352000000</v>
      </c>
      <c r="C84" s="6">
        <v>105.8</v>
      </c>
      <c r="D84">
        <v>22039693070</v>
      </c>
      <c r="E84">
        <v>13006242555.226</v>
      </c>
      <c r="F84">
        <v>16434587358</v>
      </c>
      <c r="G84">
        <v>23611010360</v>
      </c>
      <c r="H84">
        <v>62523</v>
      </c>
      <c r="I84">
        <v>100.68</v>
      </c>
      <c r="J84">
        <v>100.5</v>
      </c>
      <c r="K84">
        <v>100.77</v>
      </c>
      <c r="L84">
        <v>46623377976000</v>
      </c>
      <c r="M84">
        <v>192939892065000</v>
      </c>
      <c r="N84">
        <v>3.8130829999999998</v>
      </c>
      <c r="O84">
        <v>20.258229</v>
      </c>
      <c r="P84" s="25">
        <v>11935.735161290326</v>
      </c>
      <c r="Q84">
        <v>105.3</v>
      </c>
      <c r="R84" s="5">
        <v>962.97908840690468</v>
      </c>
      <c r="S84" s="8">
        <v>1110.4689635370687</v>
      </c>
      <c r="T84" s="9">
        <v>5581942</v>
      </c>
      <c r="U84" s="9">
        <v>28061</v>
      </c>
      <c r="V84" s="9">
        <v>147982</v>
      </c>
      <c r="W84">
        <v>103.6</v>
      </c>
      <c r="X84">
        <v>10891.298055519046</v>
      </c>
      <c r="Y84">
        <v>107.6</v>
      </c>
      <c r="Z84">
        <v>39577.0608234584</v>
      </c>
      <c r="AA84" s="11">
        <f t="shared" si="2"/>
        <v>116.10072033706315</v>
      </c>
      <c r="AB84">
        <v>111.2</v>
      </c>
      <c r="AC84">
        <v>107.2</v>
      </c>
      <c r="AD84" s="16">
        <v>23912290.067960259</v>
      </c>
      <c r="AF84" s="15">
        <v>55.319795050000003</v>
      </c>
      <c r="AG84">
        <v>73.588102489999997</v>
      </c>
      <c r="AH84">
        <v>33143.429391950922</v>
      </c>
      <c r="AI84" s="11">
        <f t="shared" si="3"/>
        <v>117.07943595954382</v>
      </c>
      <c r="AJ84">
        <v>35505</v>
      </c>
    </row>
    <row r="85" spans="1:36" x14ac:dyDescent="0.25">
      <c r="A85" s="1">
        <v>45170</v>
      </c>
      <c r="B85">
        <v>459919748230000</v>
      </c>
      <c r="C85" s="6">
        <v>105.68232</v>
      </c>
      <c r="D85">
        <v>25206876720.66</v>
      </c>
      <c r="E85">
        <v>13870944061.737</v>
      </c>
      <c r="F85">
        <v>17739362795</v>
      </c>
      <c r="G85">
        <v>27014752295</v>
      </c>
      <c r="H85">
        <v>69875</v>
      </c>
      <c r="I85">
        <v>100.59</v>
      </c>
      <c r="J85">
        <v>101.44</v>
      </c>
      <c r="K85">
        <v>100.58</v>
      </c>
      <c r="L85">
        <v>48839820536000</v>
      </c>
      <c r="M85">
        <v>205583023734000</v>
      </c>
      <c r="N85">
        <v>3.6552539999999998</v>
      </c>
      <c r="O85">
        <v>19.579930000000001</v>
      </c>
      <c r="P85" s="25">
        <v>12156.214666666667</v>
      </c>
      <c r="Q85">
        <v>104.6</v>
      </c>
      <c r="R85" s="5">
        <v>1056.3865719774917</v>
      </c>
      <c r="S85" s="8">
        <v>1073.3253995537102</v>
      </c>
      <c r="T85" s="9">
        <v>5739573</v>
      </c>
      <c r="U85" s="9">
        <v>23385</v>
      </c>
      <c r="V85" s="9">
        <v>147893</v>
      </c>
      <c r="W85">
        <v>103.5</v>
      </c>
      <c r="X85">
        <v>11509.560030884038</v>
      </c>
      <c r="Y85">
        <v>107.1</v>
      </c>
      <c r="Z85">
        <v>47945.510842187708</v>
      </c>
      <c r="AA85" s="11">
        <f t="shared" si="2"/>
        <v>113.59672397076264</v>
      </c>
      <c r="AB85">
        <v>112.2</v>
      </c>
      <c r="AC85">
        <v>107.4</v>
      </c>
      <c r="AD85" s="16">
        <v>25792142.66638181</v>
      </c>
      <c r="AF85" s="15">
        <v>53.4162368</v>
      </c>
      <c r="AG85">
        <v>61.103048619999996</v>
      </c>
      <c r="AH85">
        <v>40624.192073936167</v>
      </c>
      <c r="AI85" s="11">
        <f t="shared" si="3"/>
        <v>113.09621141749726</v>
      </c>
      <c r="AJ85">
        <v>33087</v>
      </c>
    </row>
    <row r="86" spans="1:36" x14ac:dyDescent="0.25">
      <c r="A86" s="1">
        <v>45200</v>
      </c>
      <c r="B86">
        <v>519051400000000</v>
      </c>
      <c r="C86" s="6">
        <v>105.813171</v>
      </c>
      <c r="D86">
        <v>28455498523</v>
      </c>
      <c r="E86">
        <v>16050274782.521</v>
      </c>
      <c r="F86">
        <v>20470237716</v>
      </c>
      <c r="G86">
        <v>30503552354</v>
      </c>
      <c r="H86">
        <v>76734</v>
      </c>
      <c r="I86">
        <v>100.74</v>
      </c>
      <c r="J86">
        <v>101.14</v>
      </c>
      <c r="K86">
        <v>107.3</v>
      </c>
      <c r="L86">
        <v>48130359084000</v>
      </c>
      <c r="M86">
        <v>201695599559000</v>
      </c>
      <c r="N86">
        <v>3.572508</v>
      </c>
      <c r="O86">
        <v>20.623474999999999</v>
      </c>
      <c r="P86" s="25">
        <v>12208.267741935484</v>
      </c>
      <c r="Q86">
        <v>104.9</v>
      </c>
      <c r="R86" s="5">
        <v>1064.1076215800229</v>
      </c>
      <c r="S86" s="8">
        <v>1065.695596360443</v>
      </c>
      <c r="T86" s="9">
        <v>6127137</v>
      </c>
      <c r="U86" s="9">
        <v>21005</v>
      </c>
      <c r="V86" s="9">
        <v>183111</v>
      </c>
      <c r="W86">
        <v>103.6</v>
      </c>
      <c r="X86">
        <v>8821.5526099872131</v>
      </c>
      <c r="Y86">
        <v>107.1</v>
      </c>
      <c r="Z86">
        <v>42336.137730664559</v>
      </c>
      <c r="AA86" s="11">
        <f t="shared" si="2"/>
        <v>109.26947296967839</v>
      </c>
      <c r="AB86">
        <v>112.5</v>
      </c>
      <c r="AC86">
        <v>107.3</v>
      </c>
      <c r="AD86" s="16">
        <v>26454734.662193812</v>
      </c>
      <c r="AF86" s="15">
        <v>57.013604299999997</v>
      </c>
      <c r="AG86">
        <v>65.243830590000002</v>
      </c>
      <c r="AH86">
        <v>35269.898094925236</v>
      </c>
      <c r="AI86" s="11">
        <f t="shared" si="3"/>
        <v>109.99029641037691</v>
      </c>
      <c r="AJ86">
        <v>32512</v>
      </c>
    </row>
    <row r="87" spans="1:36" x14ac:dyDescent="0.25">
      <c r="A87" s="1">
        <v>45231</v>
      </c>
      <c r="B87">
        <v>578808270992000</v>
      </c>
      <c r="C87" s="6">
        <v>106.03145499999999</v>
      </c>
      <c r="D87">
        <v>31819370627</v>
      </c>
      <c r="E87">
        <v>18380786383.239998</v>
      </c>
      <c r="F87">
        <v>23204321138</v>
      </c>
      <c r="G87">
        <v>34105795197</v>
      </c>
      <c r="H87">
        <v>83544</v>
      </c>
      <c r="I87">
        <v>101.54</v>
      </c>
      <c r="J87">
        <v>101.01</v>
      </c>
      <c r="K87">
        <v>101.21</v>
      </c>
      <c r="L87">
        <v>48140562534000</v>
      </c>
      <c r="M87">
        <v>200845227599000</v>
      </c>
      <c r="N87">
        <v>3.7102349999999999</v>
      </c>
      <c r="O87">
        <v>20.731978999999999</v>
      </c>
      <c r="P87" s="25">
        <v>12278.424333333332</v>
      </c>
      <c r="Q87">
        <v>104.8</v>
      </c>
      <c r="R87" s="5">
        <v>1056.6961852847871</v>
      </c>
      <c r="S87" s="8">
        <v>1019.7098790723173</v>
      </c>
      <c r="T87" s="9">
        <v>6761612</v>
      </c>
      <c r="U87" s="9">
        <v>21778</v>
      </c>
      <c r="V87" s="9">
        <v>147504</v>
      </c>
      <c r="W87">
        <v>103.8</v>
      </c>
      <c r="X87">
        <v>10464.531984342877</v>
      </c>
      <c r="Y87">
        <v>108.1</v>
      </c>
      <c r="Z87">
        <v>41979.577523473417</v>
      </c>
      <c r="AA87" s="11">
        <f t="shared" si="2"/>
        <v>110.90567939102442</v>
      </c>
      <c r="AB87">
        <v>113</v>
      </c>
      <c r="AC87">
        <v>108</v>
      </c>
      <c r="AD87" s="16">
        <v>30099495.036759257</v>
      </c>
      <c r="AF87" s="15">
        <v>52.490958970000001</v>
      </c>
      <c r="AG87">
        <v>64.960007869999998</v>
      </c>
      <c r="AH87">
        <v>35137.073671157821</v>
      </c>
      <c r="AI87" s="11">
        <f t="shared" si="3"/>
        <v>112.63864877668597</v>
      </c>
      <c r="AJ87">
        <v>29093</v>
      </c>
    </row>
    <row r="88" spans="1:36" x14ac:dyDescent="0.25">
      <c r="A88" s="1">
        <v>45261</v>
      </c>
      <c r="B88">
        <v>658991686853000</v>
      </c>
      <c r="C88" s="6">
        <v>106.30853399999999</v>
      </c>
      <c r="D88">
        <v>35574809454</v>
      </c>
      <c r="E88">
        <v>19246505600.486</v>
      </c>
      <c r="F88">
        <v>24426185193</v>
      </c>
      <c r="G88">
        <v>38141227874</v>
      </c>
      <c r="H88">
        <v>88787</v>
      </c>
      <c r="I88">
        <v>101.49</v>
      </c>
      <c r="J88">
        <v>101.17</v>
      </c>
      <c r="K88">
        <v>100.91</v>
      </c>
      <c r="L88">
        <v>45458601764000</v>
      </c>
      <c r="M88">
        <v>201266907940000</v>
      </c>
      <c r="N88">
        <v>3.4544540000000001</v>
      </c>
      <c r="O88">
        <v>20.508797000000001</v>
      </c>
      <c r="P88" s="25">
        <v>12335.892903225809</v>
      </c>
      <c r="Q88">
        <v>105.1</v>
      </c>
      <c r="R88" s="5">
        <v>1000.4742625701138</v>
      </c>
      <c r="S88" s="8">
        <v>1001.859721402182</v>
      </c>
      <c r="T88" s="9">
        <v>7157486</v>
      </c>
      <c r="U88" s="9">
        <v>22445</v>
      </c>
      <c r="V88" s="9">
        <v>133825</v>
      </c>
      <c r="W88">
        <v>103.8</v>
      </c>
      <c r="X88">
        <v>13036.586330511449</v>
      </c>
      <c r="Y88">
        <v>107</v>
      </c>
      <c r="Z88">
        <v>57419.733869274816</v>
      </c>
      <c r="AA88" s="11">
        <f t="shared" si="2"/>
        <v>108.80348897226703</v>
      </c>
      <c r="AB88">
        <v>112.2</v>
      </c>
      <c r="AC88">
        <v>109.1</v>
      </c>
      <c r="AD88" s="16">
        <v>41301116.197895139</v>
      </c>
      <c r="AF88" s="15">
        <v>53.67849296</v>
      </c>
      <c r="AG88">
        <v>65.854073499999998</v>
      </c>
      <c r="AH88">
        <v>48119.873312527539</v>
      </c>
      <c r="AI88" s="11">
        <f t="shared" si="3"/>
        <v>108.82377276892252</v>
      </c>
      <c r="AJ88">
        <v>27069</v>
      </c>
    </row>
    <row r="89" spans="1:36" x14ac:dyDescent="0.25">
      <c r="A89" s="1">
        <v>45292</v>
      </c>
      <c r="B89">
        <v>44635911056000</v>
      </c>
      <c r="C89" s="6">
        <v>116.58893</v>
      </c>
      <c r="D89">
        <v>2853971689</v>
      </c>
      <c r="E89">
        <v>748265628.95000005</v>
      </c>
      <c r="F89">
        <v>1116600000</v>
      </c>
      <c r="G89">
        <v>3081800000</v>
      </c>
      <c r="H89">
        <v>6160</v>
      </c>
      <c r="I89">
        <v>100.88</v>
      </c>
      <c r="J89">
        <v>100.57</v>
      </c>
      <c r="K89">
        <v>101</v>
      </c>
      <c r="L89">
        <v>45607741012000</v>
      </c>
      <c r="M89">
        <v>212086135325000</v>
      </c>
      <c r="N89">
        <v>4.1790529999999997</v>
      </c>
      <c r="O89">
        <v>20.384889000000001</v>
      </c>
      <c r="P89" s="25">
        <v>12398.378709677419</v>
      </c>
      <c r="Q89">
        <v>104.3</v>
      </c>
      <c r="R89" s="5">
        <v>1076.0568916795999</v>
      </c>
      <c r="S89" s="8">
        <v>956.16995049867865</v>
      </c>
      <c r="T89" s="9">
        <v>6084074</v>
      </c>
      <c r="U89" s="9">
        <v>21772</v>
      </c>
      <c r="V89" s="9">
        <v>144548</v>
      </c>
      <c r="W89">
        <v>114.1</v>
      </c>
      <c r="X89">
        <v>4832.8717385520004</v>
      </c>
      <c r="Y89">
        <v>124.5</v>
      </c>
      <c r="Z89">
        <v>30510.286686725995</v>
      </c>
      <c r="AA89" s="11">
        <f t="shared" si="2"/>
        <v>116.6</v>
      </c>
      <c r="AB89">
        <v>113.5</v>
      </c>
      <c r="AC89">
        <v>111.1</v>
      </c>
      <c r="AD89" s="16">
        <v>17585858.271724656</v>
      </c>
      <c r="AE89">
        <v>116.8</v>
      </c>
      <c r="AF89" s="15">
        <v>61.456085560000005</v>
      </c>
      <c r="AG89">
        <v>80.812282240000002</v>
      </c>
      <c r="AH89">
        <v>23966.049864527999</v>
      </c>
      <c r="AI89" s="11">
        <f t="shared" si="3"/>
        <v>120.6</v>
      </c>
      <c r="AJ89">
        <v>27396</v>
      </c>
    </row>
    <row r="90" spans="1:36" x14ac:dyDescent="0.25">
      <c r="A90" s="1">
        <v>45323</v>
      </c>
      <c r="B90">
        <v>96861368779000</v>
      </c>
      <c r="C90" s="6">
        <v>116.40424400000001</v>
      </c>
      <c r="D90">
        <v>5832995117</v>
      </c>
      <c r="E90">
        <v>2902732437.4400001</v>
      </c>
      <c r="F90">
        <v>3631519154</v>
      </c>
      <c r="G90">
        <v>6287497347</v>
      </c>
      <c r="H90">
        <v>13276</v>
      </c>
      <c r="I90">
        <v>100.68</v>
      </c>
      <c r="J90">
        <v>100.22</v>
      </c>
      <c r="K90">
        <v>100.59</v>
      </c>
      <c r="L90">
        <v>41544077685000</v>
      </c>
      <c r="M90">
        <v>205730353384000</v>
      </c>
      <c r="N90">
        <v>4.3263470000000002</v>
      </c>
      <c r="O90">
        <v>20.204958000000001</v>
      </c>
      <c r="P90" s="25">
        <v>12475.211034482763</v>
      </c>
      <c r="Q90">
        <v>105.2</v>
      </c>
      <c r="R90" s="5">
        <v>1305.6907899036498</v>
      </c>
      <c r="S90" s="8">
        <v>1315.3537430774968</v>
      </c>
      <c r="T90" s="9">
        <v>6815690</v>
      </c>
      <c r="U90" s="9">
        <v>22211</v>
      </c>
      <c r="V90" s="9">
        <v>115648</v>
      </c>
      <c r="W90">
        <v>114</v>
      </c>
      <c r="X90">
        <v>7019.9547993301449</v>
      </c>
      <c r="Y90">
        <v>118.5</v>
      </c>
      <c r="Z90">
        <v>35689.463203835818</v>
      </c>
      <c r="AA90" s="11">
        <f t="shared" si="2"/>
        <v>116.34611912428984</v>
      </c>
      <c r="AB90">
        <v>112.9</v>
      </c>
      <c r="AC90">
        <v>109.9</v>
      </c>
      <c r="AD90" s="16">
        <v>21859135.157543808</v>
      </c>
      <c r="AE90">
        <v>116.7</v>
      </c>
      <c r="AF90" s="15">
        <v>55.674472610999999</v>
      </c>
      <c r="AG90">
        <v>75.36113426</v>
      </c>
      <c r="AH90">
        <v>29482.068548182902</v>
      </c>
      <c r="AI90" s="11">
        <f t="shared" si="3"/>
        <v>119.63831786205681</v>
      </c>
      <c r="AJ90">
        <v>35088</v>
      </c>
    </row>
    <row r="91" spans="1:36" x14ac:dyDescent="0.25">
      <c r="A91" s="1">
        <v>45352</v>
      </c>
      <c r="B91">
        <v>166363324914000</v>
      </c>
      <c r="C91" s="6">
        <v>106.534882</v>
      </c>
      <c r="D91">
        <v>8747187262</v>
      </c>
      <c r="E91">
        <v>5244981928.71</v>
      </c>
      <c r="F91">
        <v>6384364099</v>
      </c>
      <c r="G91">
        <v>9438599200</v>
      </c>
      <c r="H91">
        <v>19767</v>
      </c>
      <c r="I91">
        <v>100.73</v>
      </c>
      <c r="J91">
        <v>100.65</v>
      </c>
      <c r="K91">
        <v>100.88</v>
      </c>
      <c r="L91">
        <v>41202049248000</v>
      </c>
      <c r="M91">
        <v>206218942002000</v>
      </c>
      <c r="N91">
        <v>4.419187</v>
      </c>
      <c r="O91">
        <v>20.326342</v>
      </c>
      <c r="P91" s="25">
        <v>12550.276129032261</v>
      </c>
      <c r="Q91">
        <v>104.7</v>
      </c>
      <c r="R91" s="5">
        <v>1024.7555032933994</v>
      </c>
      <c r="S91" s="8">
        <v>1041.7079820380357</v>
      </c>
      <c r="T91" s="9">
        <v>6138627</v>
      </c>
      <c r="U91" s="9">
        <v>17790</v>
      </c>
      <c r="V91" s="9">
        <v>108899</v>
      </c>
      <c r="W91">
        <v>104.3</v>
      </c>
      <c r="X91">
        <v>11193.770124258379</v>
      </c>
      <c r="Y91">
        <v>106.8</v>
      </c>
      <c r="Z91">
        <v>40241.15449455662</v>
      </c>
      <c r="AA91" s="11">
        <f t="shared" si="2"/>
        <v>93.283363221866736</v>
      </c>
      <c r="AB91">
        <v>112.8</v>
      </c>
      <c r="AC91">
        <v>109.3</v>
      </c>
      <c r="AD91" s="16">
        <v>23842312.807276201</v>
      </c>
      <c r="AE91">
        <v>114.2</v>
      </c>
      <c r="AF91" s="15">
        <v>59.906358709999999</v>
      </c>
      <c r="AG91">
        <v>77.495405980000015</v>
      </c>
      <c r="AH91">
        <v>32665.013326194767</v>
      </c>
      <c r="AI91" s="11">
        <f t="shared" si="3"/>
        <v>90.965964955740205</v>
      </c>
      <c r="AJ91">
        <v>42642</v>
      </c>
    </row>
    <row r="92" spans="1:36" x14ac:dyDescent="0.25">
      <c r="A92" s="1">
        <v>45383</v>
      </c>
      <c r="B92">
        <v>227759841840000</v>
      </c>
      <c r="C92" s="6">
        <v>109.847613</v>
      </c>
      <c r="D92">
        <v>11461243824</v>
      </c>
      <c r="E92">
        <v>6847606464.4200001</v>
      </c>
      <c r="F92">
        <v>8490470907.999999</v>
      </c>
      <c r="G92">
        <v>12379587093</v>
      </c>
      <c r="H92">
        <v>27685</v>
      </c>
      <c r="I92">
        <v>101.77</v>
      </c>
      <c r="J92">
        <v>100.67</v>
      </c>
      <c r="K92">
        <v>102.5</v>
      </c>
      <c r="L92">
        <v>42867393492000</v>
      </c>
      <c r="M92">
        <v>213228342438000</v>
      </c>
      <c r="N92">
        <v>4.7209649999999996</v>
      </c>
      <c r="O92">
        <v>19.221885</v>
      </c>
      <c r="P92" s="25">
        <v>12670.32766666667</v>
      </c>
      <c r="Q92">
        <v>103.9</v>
      </c>
      <c r="R92" s="5">
        <v>1097.0904030533475</v>
      </c>
      <c r="S92" s="8">
        <v>1113.5640178491519</v>
      </c>
      <c r="T92" s="9">
        <v>6734475</v>
      </c>
      <c r="U92" s="9">
        <v>19783</v>
      </c>
      <c r="V92" s="9">
        <v>88313</v>
      </c>
      <c r="W92">
        <v>107.6</v>
      </c>
      <c r="X92">
        <v>11709.355293291688</v>
      </c>
      <c r="Y92">
        <v>107</v>
      </c>
      <c r="Z92">
        <v>42748.376101502115</v>
      </c>
      <c r="AA92" s="11">
        <f t="shared" si="2"/>
        <v>115.0826225556782</v>
      </c>
      <c r="AB92">
        <v>112.3</v>
      </c>
      <c r="AC92">
        <v>108.9</v>
      </c>
      <c r="AD92" s="16">
        <v>23488460.63700708</v>
      </c>
      <c r="AE92">
        <v>112.9</v>
      </c>
      <c r="AF92" s="15">
        <v>48.58203752</v>
      </c>
      <c r="AG92">
        <v>68.507822320000002</v>
      </c>
      <c r="AH92">
        <v>37828.34618358135</v>
      </c>
      <c r="AI92" s="11">
        <f t="shared" si="3"/>
        <v>120.80307859867958</v>
      </c>
      <c r="AJ92">
        <v>55126</v>
      </c>
    </row>
    <row r="93" spans="1:36" x14ac:dyDescent="0.25">
      <c r="A93" s="1">
        <v>45413</v>
      </c>
      <c r="B93">
        <v>292029838327000</v>
      </c>
      <c r="C93" s="6">
        <v>108.365568</v>
      </c>
      <c r="D93">
        <v>14715483937</v>
      </c>
      <c r="E93">
        <v>8668185492.3199997</v>
      </c>
      <c r="F93">
        <v>10856528133</v>
      </c>
      <c r="G93">
        <v>15876481077</v>
      </c>
      <c r="H93">
        <v>35754</v>
      </c>
      <c r="I93">
        <v>115.22</v>
      </c>
      <c r="J93">
        <v>98.96</v>
      </c>
      <c r="K93">
        <v>102.3</v>
      </c>
      <c r="L93">
        <v>43795985875000</v>
      </c>
      <c r="M93">
        <v>217687065622000</v>
      </c>
      <c r="N93">
        <v>4.1821219999999997</v>
      </c>
      <c r="O93">
        <v>18.593738999999999</v>
      </c>
      <c r="P93" s="25">
        <v>12686.959032258064</v>
      </c>
      <c r="Q93">
        <v>103.7</v>
      </c>
      <c r="R93" s="5">
        <v>1065.7602753675199</v>
      </c>
      <c r="S93" s="8">
        <v>1022.23474916712</v>
      </c>
      <c r="T93" s="9">
        <v>7109180</v>
      </c>
      <c r="U93" s="9">
        <v>21650</v>
      </c>
      <c r="V93" s="9">
        <v>100719</v>
      </c>
      <c r="W93">
        <v>106.1</v>
      </c>
      <c r="X93">
        <v>8844.6600086812141</v>
      </c>
      <c r="Y93">
        <v>107.2</v>
      </c>
      <c r="Z93">
        <v>40053.147945131961</v>
      </c>
      <c r="AA93" s="11">
        <f t="shared" si="2"/>
        <v>98.792038113852428</v>
      </c>
      <c r="AB93">
        <v>111.4</v>
      </c>
      <c r="AC93">
        <v>108.7</v>
      </c>
      <c r="AD93" s="16">
        <v>25730401.142109845</v>
      </c>
      <c r="AE93">
        <v>113</v>
      </c>
      <c r="AF93" s="15">
        <v>48.432746719999997</v>
      </c>
      <c r="AG93">
        <v>64.929453299999992</v>
      </c>
      <c r="AH93">
        <v>34752.564816041806</v>
      </c>
      <c r="AI93" s="11">
        <f t="shared" si="3"/>
        <v>100.67808683069295</v>
      </c>
      <c r="AJ93">
        <v>45171</v>
      </c>
    </row>
    <row r="94" spans="1:36" x14ac:dyDescent="0.25">
      <c r="A94" s="1">
        <v>45444</v>
      </c>
      <c r="B94">
        <v>369961702386000</v>
      </c>
      <c r="C94" s="6">
        <v>107.825029</v>
      </c>
      <c r="D94">
        <v>17242845627</v>
      </c>
      <c r="E94">
        <v>9868376523.3600006</v>
      </c>
      <c r="F94">
        <v>12992650362</v>
      </c>
      <c r="G94">
        <v>18835514107</v>
      </c>
      <c r="H94">
        <v>42405</v>
      </c>
      <c r="I94">
        <v>100.92</v>
      </c>
      <c r="J94">
        <v>99.34</v>
      </c>
      <c r="K94">
        <v>100.8</v>
      </c>
      <c r="L94">
        <v>45949105825000</v>
      </c>
      <c r="M94">
        <v>226018413476000</v>
      </c>
      <c r="N94">
        <v>3.9608759999999998</v>
      </c>
      <c r="O94">
        <v>20.572561</v>
      </c>
      <c r="P94" s="25">
        <v>12619.929999999995</v>
      </c>
      <c r="Q94">
        <v>103.9</v>
      </c>
      <c r="R94" s="5">
        <v>1560.1744322630452</v>
      </c>
      <c r="S94" s="8">
        <v>931.15094042085389</v>
      </c>
      <c r="T94" s="9">
        <v>6224789</v>
      </c>
      <c r="U94" s="9">
        <v>20261</v>
      </c>
      <c r="V94" s="9">
        <v>86977</v>
      </c>
      <c r="W94">
        <v>105.6</v>
      </c>
      <c r="X94">
        <v>15051.825777142112</v>
      </c>
      <c r="Y94">
        <v>110.1</v>
      </c>
      <c r="Z94">
        <v>41933.061719973164</v>
      </c>
      <c r="AA94" s="11">
        <f t="shared" si="2"/>
        <v>99.409657536619534</v>
      </c>
      <c r="AB94">
        <v>110.6</v>
      </c>
      <c r="AC94">
        <v>108.4</v>
      </c>
      <c r="AD94" s="16">
        <v>25735016.318382151</v>
      </c>
      <c r="AE94">
        <v>112.9</v>
      </c>
      <c r="AF94" s="15">
        <v>53.218114780000008</v>
      </c>
      <c r="AG94">
        <v>73.72853022999999</v>
      </c>
      <c r="AH94">
        <v>36575.207096583399</v>
      </c>
      <c r="AI94" s="11">
        <f t="shared" si="3"/>
        <v>99.192715640035871</v>
      </c>
      <c r="AJ94">
        <v>53206</v>
      </c>
    </row>
    <row r="95" spans="1:36" x14ac:dyDescent="0.25">
      <c r="A95" s="1">
        <v>45474</v>
      </c>
      <c r="B95">
        <v>435150415606000</v>
      </c>
      <c r="C95" s="6">
        <v>107.148985</v>
      </c>
      <c r="D95">
        <v>20146126457</v>
      </c>
      <c r="E95">
        <v>11077870938.290001</v>
      </c>
      <c r="F95">
        <v>14786047004</v>
      </c>
      <c r="G95">
        <v>22049313641</v>
      </c>
      <c r="H95">
        <v>50356</v>
      </c>
      <c r="I95">
        <v>100.52</v>
      </c>
      <c r="J95">
        <v>99.43</v>
      </c>
      <c r="K95">
        <v>100.5</v>
      </c>
      <c r="L95">
        <v>49900843072000</v>
      </c>
      <c r="M95">
        <v>236439249832000</v>
      </c>
      <c r="N95">
        <v>4.0739330000000002</v>
      </c>
      <c r="O95">
        <v>20.593605</v>
      </c>
      <c r="P95" s="25">
        <v>12606.402580645159</v>
      </c>
      <c r="Q95">
        <v>104.1</v>
      </c>
      <c r="R95" s="5">
        <v>1547.0525349918623</v>
      </c>
      <c r="S95" s="8">
        <v>1160.4888232768612</v>
      </c>
      <c r="T95" s="9">
        <v>7030018</v>
      </c>
      <c r="U95" s="9">
        <v>23026</v>
      </c>
      <c r="V95" s="9">
        <v>102071</v>
      </c>
      <c r="W95">
        <v>104.9</v>
      </c>
      <c r="X95">
        <v>10798.66803026213</v>
      </c>
      <c r="Y95">
        <v>110</v>
      </c>
      <c r="Z95">
        <v>36932.391012891356</v>
      </c>
      <c r="AA95" s="11">
        <f t="shared" si="2"/>
        <v>96.939834304950949</v>
      </c>
      <c r="AB95">
        <v>110.1</v>
      </c>
      <c r="AC95">
        <v>108.9</v>
      </c>
      <c r="AD95" s="16">
        <v>27567995.219420429</v>
      </c>
      <c r="AE95">
        <v>113</v>
      </c>
      <c r="AF95" s="15">
        <v>47.486727079999994</v>
      </c>
      <c r="AG95">
        <v>66.257502669999994</v>
      </c>
      <c r="AH95">
        <v>31304.467326666338</v>
      </c>
      <c r="AI95" s="11">
        <f t="shared" si="3"/>
        <v>97.844383515621942</v>
      </c>
      <c r="AJ95">
        <v>50335</v>
      </c>
    </row>
    <row r="96" spans="1:36" x14ac:dyDescent="0.25">
      <c r="A96" s="1">
        <v>45505</v>
      </c>
      <c r="B96">
        <v>505790456651000</v>
      </c>
      <c r="C96" s="6">
        <v>106.928467</v>
      </c>
      <c r="D96">
        <v>23085719837</v>
      </c>
      <c r="E96">
        <v>12932260009.640001</v>
      </c>
      <c r="F96">
        <v>17503300000</v>
      </c>
      <c r="G96">
        <v>25442900000</v>
      </c>
      <c r="H96">
        <v>57882</v>
      </c>
      <c r="I96">
        <v>100.4</v>
      </c>
      <c r="J96">
        <v>100.58</v>
      </c>
      <c r="K96">
        <v>100.1</v>
      </c>
      <c r="L96">
        <v>50440151096000</v>
      </c>
      <c r="M96">
        <v>242175271973000</v>
      </c>
      <c r="N96">
        <v>4.1519789999999999</v>
      </c>
      <c r="O96">
        <v>20.67183</v>
      </c>
      <c r="P96" s="25">
        <v>12634.140967741934</v>
      </c>
      <c r="Q96">
        <v>104.4</v>
      </c>
      <c r="R96" s="5">
        <v>1201.5327420322812</v>
      </c>
      <c r="S96" s="8">
        <v>1076.2489020974401</v>
      </c>
      <c r="T96" s="9">
        <v>6111727</v>
      </c>
      <c r="U96" s="9">
        <v>22229</v>
      </c>
      <c r="V96" s="9">
        <v>111370</v>
      </c>
      <c r="W96">
        <v>104.7</v>
      </c>
      <c r="X96">
        <v>11193.324156969196</v>
      </c>
      <c r="Y96">
        <v>109.2</v>
      </c>
      <c r="Z96">
        <v>39584.149371256564</v>
      </c>
      <c r="AA96" s="11">
        <f t="shared" si="2"/>
        <v>100.01791074842517</v>
      </c>
      <c r="AB96">
        <v>110.4</v>
      </c>
      <c r="AC96">
        <v>109.1</v>
      </c>
      <c r="AD96" s="16">
        <v>27193749.675315142</v>
      </c>
      <c r="AE96">
        <v>113.2</v>
      </c>
      <c r="AF96" s="15">
        <v>52.736625419999996</v>
      </c>
      <c r="AG96">
        <v>66.761515590000002</v>
      </c>
      <c r="AH96">
        <v>33388.969286999076</v>
      </c>
      <c r="AI96" s="11">
        <f t="shared" si="3"/>
        <v>100.7408403401604</v>
      </c>
      <c r="AJ96">
        <v>37084</v>
      </c>
    </row>
    <row r="97" spans="1:36" x14ac:dyDescent="0.25">
      <c r="A97" s="1">
        <v>45536</v>
      </c>
      <c r="B97">
        <v>629171522952000</v>
      </c>
      <c r="C97" s="6">
        <v>107.032965</v>
      </c>
      <c r="D97">
        <v>25861614846</v>
      </c>
      <c r="E97">
        <v>14759776615.51</v>
      </c>
      <c r="F97">
        <v>19773832593</v>
      </c>
      <c r="G97">
        <v>28432447818</v>
      </c>
      <c r="H97">
        <v>64553</v>
      </c>
      <c r="I97">
        <v>101.46</v>
      </c>
      <c r="J97">
        <v>101.15</v>
      </c>
      <c r="K97">
        <v>100.8</v>
      </c>
      <c r="L97">
        <v>51992596116000</v>
      </c>
      <c r="M97">
        <v>250188855103000</v>
      </c>
      <c r="N97">
        <v>4.0923569999999998</v>
      </c>
      <c r="O97">
        <v>20.483865999999999</v>
      </c>
      <c r="P97" s="25">
        <v>12711.295000000002</v>
      </c>
      <c r="Q97">
        <v>105.3</v>
      </c>
      <c r="R97" s="5">
        <v>999.75182739104616</v>
      </c>
      <c r="S97" s="8">
        <v>957.64456647048905</v>
      </c>
      <c r="T97" s="9">
        <v>5608967</v>
      </c>
      <c r="U97" s="9">
        <v>21287</v>
      </c>
      <c r="V97" s="9">
        <v>110147</v>
      </c>
      <c r="W97">
        <v>104.8</v>
      </c>
      <c r="X97">
        <v>12270.360028640311</v>
      </c>
      <c r="Y97">
        <v>109.1</v>
      </c>
      <c r="Z97">
        <v>48871.233906712099</v>
      </c>
      <c r="AA97" s="11">
        <f t="shared" si="2"/>
        <v>101.93078152315739</v>
      </c>
      <c r="AB97">
        <v>110</v>
      </c>
      <c r="AC97">
        <v>109.2</v>
      </c>
      <c r="AD97" s="16">
        <v>29286986.93474986</v>
      </c>
      <c r="AE97">
        <v>112.8</v>
      </c>
      <c r="AF97" s="15">
        <v>55.169943770000003</v>
      </c>
      <c r="AG97">
        <v>62.732711899999998</v>
      </c>
      <c r="AH97">
        <v>41313.842784987297</v>
      </c>
      <c r="AI97" s="11">
        <f t="shared" si="3"/>
        <v>101.69763551185451</v>
      </c>
      <c r="AJ97">
        <v>30143</v>
      </c>
    </row>
    <row r="98" spans="1:36" x14ac:dyDescent="0.25">
      <c r="A98" s="1">
        <v>45566</v>
      </c>
      <c r="B98">
        <v>704128523199000</v>
      </c>
      <c r="C98" s="6">
        <v>106.94687399999999</v>
      </c>
      <c r="D98">
        <v>28991188892</v>
      </c>
      <c r="E98">
        <v>16739667535.429998</v>
      </c>
      <c r="F98">
        <v>22442598955</v>
      </c>
      <c r="G98">
        <v>31924529171</v>
      </c>
      <c r="H98">
        <v>70276</v>
      </c>
      <c r="I98">
        <v>100.76</v>
      </c>
      <c r="J98">
        <v>100.87</v>
      </c>
      <c r="K98">
        <v>101.2</v>
      </c>
      <c r="L98">
        <v>52915170866000</v>
      </c>
      <c r="M98">
        <v>256181208824000</v>
      </c>
      <c r="N98">
        <v>4.1419610000000002</v>
      </c>
      <c r="O98">
        <v>20.615288</v>
      </c>
      <c r="P98" s="25">
        <v>12784.374838709675</v>
      </c>
      <c r="Q98">
        <v>105.3</v>
      </c>
      <c r="R98" s="5">
        <v>1337.7526516842142</v>
      </c>
      <c r="S98" s="8">
        <v>1177.4863215427433</v>
      </c>
      <c r="T98" s="9">
        <v>6332881</v>
      </c>
      <c r="U98" s="9">
        <v>21410</v>
      </c>
      <c r="V98" s="9">
        <v>102393</v>
      </c>
      <c r="W98">
        <v>104.7</v>
      </c>
      <c r="X98">
        <v>9751.5612797709873</v>
      </c>
      <c r="Y98">
        <v>109.4</v>
      </c>
      <c r="Z98">
        <v>45057.333457026354</v>
      </c>
      <c r="AA98" s="11">
        <f t="shared" si="2"/>
        <v>106.42759560088733</v>
      </c>
      <c r="AB98">
        <v>110.6</v>
      </c>
      <c r="AC98">
        <v>109.5</v>
      </c>
      <c r="AD98" s="16">
        <v>30622954.538603205</v>
      </c>
      <c r="AE98">
        <v>113.1</v>
      </c>
      <c r="AF98" s="15">
        <v>42.064596450000003</v>
      </c>
      <c r="AG98">
        <v>51.915580750000004</v>
      </c>
      <c r="AH98">
        <v>37906.183888730819</v>
      </c>
      <c r="AI98" s="11">
        <f t="shared" si="3"/>
        <v>107.47460564447988</v>
      </c>
      <c r="AJ98">
        <v>49598</v>
      </c>
    </row>
    <row r="99" spans="1:36" x14ac:dyDescent="0.25">
      <c r="A99" s="1">
        <v>45597</v>
      </c>
      <c r="B99">
        <v>780872927081000</v>
      </c>
      <c r="C99" s="6">
        <v>106.790615</v>
      </c>
      <c r="D99">
        <v>31894742522</v>
      </c>
      <c r="E99">
        <v>17788580546.330002</v>
      </c>
      <c r="F99">
        <v>24222993674</v>
      </c>
      <c r="G99">
        <v>35145784891</v>
      </c>
      <c r="H99">
        <v>75344</v>
      </c>
      <c r="I99">
        <v>100.77</v>
      </c>
      <c r="J99">
        <v>100.99</v>
      </c>
      <c r="K99">
        <v>101</v>
      </c>
      <c r="L99">
        <v>54020790812000</v>
      </c>
      <c r="M99">
        <v>264973339096000</v>
      </c>
      <c r="N99">
        <v>4.1885880000000002</v>
      </c>
      <c r="O99">
        <v>20.636209999999998</v>
      </c>
      <c r="P99" s="25">
        <v>12815.19266666667</v>
      </c>
      <c r="Q99">
        <v>105.6</v>
      </c>
      <c r="R99" s="5">
        <v>1239.1831101069499</v>
      </c>
      <c r="S99" s="8">
        <v>971.29992136637134</v>
      </c>
      <c r="T99" s="9">
        <v>5913794</v>
      </c>
      <c r="U99" s="9">
        <v>21945</v>
      </c>
      <c r="V99" s="9">
        <v>95423</v>
      </c>
      <c r="W99">
        <v>104.6</v>
      </c>
      <c r="X99">
        <v>11095.924269002191</v>
      </c>
      <c r="Y99">
        <v>109.2</v>
      </c>
      <c r="Z99">
        <v>44414.767769278027</v>
      </c>
      <c r="AA99" s="11">
        <f t="shared" si="2"/>
        <v>105.80089269465121</v>
      </c>
      <c r="AB99">
        <v>111.1</v>
      </c>
      <c r="AC99">
        <v>109.7</v>
      </c>
      <c r="AD99" s="16">
        <v>34678133.427472584</v>
      </c>
      <c r="AE99">
        <v>113.3</v>
      </c>
      <c r="AF99" s="15">
        <v>50.734357880000005</v>
      </c>
      <c r="AG99">
        <v>56.90657161</v>
      </c>
      <c r="AH99">
        <v>37436.393086012511</v>
      </c>
      <c r="AI99" s="11">
        <f t="shared" si="3"/>
        <v>106.54385574727607</v>
      </c>
      <c r="AJ99">
        <v>34950</v>
      </c>
    </row>
    <row r="100" spans="1:36" x14ac:dyDescent="0.25">
      <c r="A100" s="1">
        <v>45627</v>
      </c>
      <c r="B100">
        <v>880198505296000</v>
      </c>
      <c r="C100" s="6">
        <v>106.545036</v>
      </c>
      <c r="D100">
        <v>35237850464</v>
      </c>
      <c r="E100">
        <v>19743759218.52</v>
      </c>
      <c r="F100">
        <v>26948202092</v>
      </c>
      <c r="G100">
        <v>38985833787</v>
      </c>
      <c r="H100">
        <v>79667</v>
      </c>
      <c r="I100">
        <v>100.67</v>
      </c>
      <c r="J100">
        <v>101.18</v>
      </c>
      <c r="K100">
        <v>100.1</v>
      </c>
      <c r="L100">
        <v>51406281465000</v>
      </c>
      <c r="M100">
        <v>262642516484000.03</v>
      </c>
      <c r="N100">
        <v>3.8879169999999998</v>
      </c>
      <c r="O100">
        <v>20.298287999999999</v>
      </c>
      <c r="P100" s="25">
        <v>12874.95322580645</v>
      </c>
      <c r="Q100">
        <v>106.2</v>
      </c>
      <c r="R100" s="5">
        <v>1123.9220394782037</v>
      </c>
      <c r="S100" s="8">
        <v>1029.23257105427</v>
      </c>
      <c r="T100" s="9">
        <v>6370202</v>
      </c>
      <c r="U100" s="9">
        <v>23156</v>
      </c>
      <c r="V100" s="9">
        <v>80517</v>
      </c>
      <c r="W100">
        <v>104.7</v>
      </c>
      <c r="X100">
        <v>13626.174916997343</v>
      </c>
      <c r="Y100">
        <v>108.8</v>
      </c>
      <c r="Z100">
        <v>60883.452551136994</v>
      </c>
      <c r="AA100" s="11">
        <f t="shared" si="2"/>
        <v>106.03227923303839</v>
      </c>
      <c r="AB100">
        <v>111.4</v>
      </c>
      <c r="AC100">
        <v>109.9</v>
      </c>
      <c r="AD100" s="16">
        <v>47553108.322034664</v>
      </c>
      <c r="AE100">
        <v>112.9</v>
      </c>
      <c r="AF100" s="15">
        <v>55.871461270000005</v>
      </c>
      <c r="AG100">
        <v>67.105590890000002</v>
      </c>
      <c r="AH100">
        <v>51738.492398610913</v>
      </c>
      <c r="AI100" s="11">
        <f t="shared" si="3"/>
        <v>107.52000958643693</v>
      </c>
      <c r="AJ100">
        <v>40700</v>
      </c>
    </row>
    <row r="101" spans="1:36" x14ac:dyDescent="0.25">
      <c r="A101" s="1">
        <v>45658</v>
      </c>
      <c r="B101">
        <v>55750600000000</v>
      </c>
      <c r="C101" s="6">
        <v>104.339786</v>
      </c>
      <c r="D101">
        <v>2866778883</v>
      </c>
      <c r="E101">
        <v>817683199.64999998</v>
      </c>
      <c r="F101">
        <v>1309788292</v>
      </c>
      <c r="G101">
        <v>3199532403</v>
      </c>
      <c r="H101">
        <v>7318</v>
      </c>
      <c r="I101">
        <v>101.07</v>
      </c>
      <c r="J101">
        <v>100.62</v>
      </c>
      <c r="K101">
        <v>100.3</v>
      </c>
      <c r="L101">
        <v>53328506641000</v>
      </c>
      <c r="M101">
        <v>277064562067000.03</v>
      </c>
      <c r="N101">
        <v>4.354482</v>
      </c>
      <c r="O101">
        <v>20.25789</v>
      </c>
      <c r="P101" s="25">
        <v>12954.683548387098</v>
      </c>
      <c r="Q101">
        <v>104.5</v>
      </c>
      <c r="R101" s="5">
        <v>1185.7562122531297</v>
      </c>
      <c r="S101" s="8">
        <v>1084.2563079542467</v>
      </c>
      <c r="T101" s="9">
        <v>5677437</v>
      </c>
      <c r="U101" s="9">
        <v>25562</v>
      </c>
      <c r="V101" s="9">
        <v>88885</v>
      </c>
      <c r="W101">
        <v>102.2</v>
      </c>
      <c r="X101">
        <v>5697.9557797528078</v>
      </c>
      <c r="Y101">
        <v>117.9</v>
      </c>
      <c r="Z101">
        <v>31834.367836916397</v>
      </c>
      <c r="AA101" s="11">
        <f t="shared" si="2"/>
        <v>104.33978600000002</v>
      </c>
      <c r="AB101">
        <v>110.6</v>
      </c>
      <c r="AC101">
        <v>109.2</v>
      </c>
      <c r="AD101" s="16">
        <v>19203757.232723325</v>
      </c>
      <c r="AE101">
        <v>111.4</v>
      </c>
      <c r="AF101" s="15">
        <v>51.905251498114964</v>
      </c>
      <c r="AG101">
        <v>65.381742595250302</v>
      </c>
      <c r="AH101">
        <v>25212.284457483456</v>
      </c>
      <c r="AI101" s="11">
        <f t="shared" si="3"/>
        <v>105.2</v>
      </c>
      <c r="AJ101">
        <v>41914</v>
      </c>
    </row>
    <row r="102" spans="1:36" x14ac:dyDescent="0.25">
      <c r="A102" s="1">
        <v>45689</v>
      </c>
      <c r="B102">
        <v>122191433496000</v>
      </c>
      <c r="C102" s="6">
        <v>105.999098</v>
      </c>
      <c r="D102">
        <v>5541820499</v>
      </c>
      <c r="E102">
        <v>3466404663.4000001</v>
      </c>
      <c r="F102">
        <v>4643040622</v>
      </c>
      <c r="G102">
        <v>6202602105</v>
      </c>
      <c r="H102">
        <v>14544</v>
      </c>
      <c r="I102">
        <v>100.82</v>
      </c>
      <c r="J102">
        <v>100.46</v>
      </c>
      <c r="K102">
        <v>100.4</v>
      </c>
      <c r="L102">
        <v>48835362321000</v>
      </c>
      <c r="M102">
        <v>268444848505000</v>
      </c>
      <c r="N102">
        <v>4.4192010000000002</v>
      </c>
      <c r="O102">
        <v>20.826392999999999</v>
      </c>
      <c r="P102" s="25">
        <v>12957.859999999999</v>
      </c>
      <c r="Q102">
        <v>107.3</v>
      </c>
      <c r="R102" s="5">
        <v>1091.0925396821131</v>
      </c>
      <c r="S102" s="8">
        <v>1103.1647343507718</v>
      </c>
      <c r="T102" s="9">
        <v>6108224</v>
      </c>
      <c r="U102" s="9">
        <v>22432</v>
      </c>
      <c r="V102" s="9">
        <v>79146</v>
      </c>
      <c r="W102">
        <v>103.8</v>
      </c>
      <c r="X102">
        <v>7537.9141435145348</v>
      </c>
      <c r="Y102">
        <v>111.8</v>
      </c>
      <c r="Z102">
        <v>38410.112529679049</v>
      </c>
      <c r="AA102" s="11">
        <f t="shared" si="2"/>
        <v>107.62311640918942</v>
      </c>
      <c r="AB102">
        <v>112.3</v>
      </c>
      <c r="AC102">
        <v>110.2</v>
      </c>
      <c r="AD102" s="16">
        <v>24206271.96257861</v>
      </c>
      <c r="AE102">
        <v>112.2</v>
      </c>
      <c r="AF102" s="15">
        <v>53.661070570347832</v>
      </c>
      <c r="AG102">
        <v>67.674783235342318</v>
      </c>
      <c r="AH102">
        <v>32572.437482506517</v>
      </c>
      <c r="AI102" s="11">
        <f t="shared" si="3"/>
        <v>110.48219845657366</v>
      </c>
      <c r="AJ102">
        <v>44353</v>
      </c>
    </row>
    <row r="103" spans="1:36" x14ac:dyDescent="0.25">
      <c r="A103" s="1">
        <v>45717</v>
      </c>
      <c r="B103">
        <v>211344405030000</v>
      </c>
      <c r="C103" s="6">
        <v>106.516031</v>
      </c>
      <c r="D103">
        <v>8227485621</v>
      </c>
      <c r="E103">
        <v>6375574016.1800003</v>
      </c>
      <c r="F103">
        <v>8106849175</v>
      </c>
      <c r="G103">
        <v>9194792726</v>
      </c>
      <c r="H103">
        <v>21346</v>
      </c>
      <c r="I103">
        <v>100.7</v>
      </c>
      <c r="J103">
        <v>100.91</v>
      </c>
      <c r="K103">
        <v>101.2</v>
      </c>
      <c r="L103">
        <v>49633573700000</v>
      </c>
      <c r="M103">
        <v>274869135150000</v>
      </c>
      <c r="N103">
        <v>4.1702779999999997</v>
      </c>
      <c r="O103">
        <v>19.324372</v>
      </c>
      <c r="P103" s="25">
        <v>12920.74</v>
      </c>
      <c r="Q103">
        <v>108.3</v>
      </c>
      <c r="R103" s="5">
        <v>1291.9164151092814</v>
      </c>
      <c r="S103" s="8">
        <v>1189.7699729258231</v>
      </c>
      <c r="T103" s="9">
        <v>5923831</v>
      </c>
      <c r="U103" s="9">
        <v>20457</v>
      </c>
      <c r="V103" s="9">
        <v>76816</v>
      </c>
      <c r="W103">
        <v>104.4</v>
      </c>
      <c r="X103">
        <v>12235.136894541985</v>
      </c>
      <c r="Y103">
        <v>110.8</v>
      </c>
      <c r="Z103">
        <v>43159.240231813281</v>
      </c>
      <c r="AA103" s="11">
        <f t="shared" si="2"/>
        <v>107.25149607139474</v>
      </c>
      <c r="AB103">
        <v>110.7</v>
      </c>
      <c r="AC103">
        <v>109.5</v>
      </c>
      <c r="AD103" s="16">
        <v>25705151.474256717</v>
      </c>
      <c r="AE103">
        <v>112.6</v>
      </c>
      <c r="AF103" s="15">
        <v>61.216092224774812</v>
      </c>
      <c r="AG103">
        <v>76.902543570538938</v>
      </c>
      <c r="AH103">
        <v>35841.579309813642</v>
      </c>
      <c r="AI103" s="11">
        <f t="shared" si="3"/>
        <v>109.72467377220238</v>
      </c>
      <c r="AJ103">
        <v>75823</v>
      </c>
    </row>
    <row r="104" spans="1:36" x14ac:dyDescent="0.25">
      <c r="A104" s="1">
        <v>45748</v>
      </c>
      <c r="B104">
        <v>290055224002000</v>
      </c>
      <c r="C104" s="6">
        <v>106.341809</v>
      </c>
      <c r="D104">
        <v>11386567960</v>
      </c>
      <c r="E104">
        <v>9376795140.0909996</v>
      </c>
      <c r="F104">
        <v>11882064307</v>
      </c>
      <c r="G104">
        <v>12728369251</v>
      </c>
      <c r="H104">
        <v>29134</v>
      </c>
      <c r="I104">
        <v>101</v>
      </c>
      <c r="J104">
        <v>100.61</v>
      </c>
      <c r="K104">
        <v>101.7</v>
      </c>
      <c r="L104">
        <v>52462762460000</v>
      </c>
      <c r="M104">
        <v>281516315816000</v>
      </c>
      <c r="N104">
        <v>4.0939360000000002</v>
      </c>
      <c r="O104">
        <v>19.954805</v>
      </c>
      <c r="P104" s="25">
        <v>12944.89633333333</v>
      </c>
      <c r="Q104">
        <v>108.5</v>
      </c>
      <c r="R104" s="5">
        <v>1223.333697255305</v>
      </c>
      <c r="S104" s="8">
        <v>1099.3000557780167</v>
      </c>
      <c r="T104" s="9">
        <v>6944448</v>
      </c>
      <c r="U104" s="9">
        <v>24468</v>
      </c>
      <c r="V104" s="9">
        <v>89911</v>
      </c>
      <c r="W104">
        <v>104.3</v>
      </c>
      <c r="X104">
        <v>12778.759082593033</v>
      </c>
      <c r="Y104">
        <v>110.3</v>
      </c>
      <c r="Z104">
        <v>45591.323700232955</v>
      </c>
      <c r="AA104" s="11">
        <f t="shared" si="2"/>
        <v>106.65042244407255</v>
      </c>
      <c r="AB104">
        <v>110.1</v>
      </c>
      <c r="AC104">
        <v>109.1</v>
      </c>
      <c r="AD104" s="16">
        <v>25264820.688620869</v>
      </c>
      <c r="AE104">
        <v>112.6</v>
      </c>
      <c r="AF104" s="15">
        <v>57.156483919308251</v>
      </c>
      <c r="AG104">
        <v>74.455994616240332</v>
      </c>
      <c r="AH104">
        <v>40547.821378307963</v>
      </c>
      <c r="AI104" s="11">
        <f t="shared" si="3"/>
        <v>107.18898780699789</v>
      </c>
      <c r="AJ104">
        <v>84246</v>
      </c>
    </row>
    <row r="105" spans="1:36" x14ac:dyDescent="0.25">
      <c r="A105" s="1">
        <v>45778</v>
      </c>
      <c r="B105">
        <v>375017787401000</v>
      </c>
      <c r="C105" s="6">
        <v>106.443681</v>
      </c>
      <c r="D105">
        <v>14797905379</v>
      </c>
      <c r="E105">
        <v>11568823260.491001</v>
      </c>
      <c r="F105">
        <v>14816431200</v>
      </c>
      <c r="G105">
        <v>16493956433</v>
      </c>
      <c r="H105">
        <v>36520</v>
      </c>
      <c r="I105">
        <v>105.91</v>
      </c>
      <c r="J105">
        <v>100.21</v>
      </c>
      <c r="K105">
        <v>105</v>
      </c>
      <c r="L105">
        <v>53334741243000</v>
      </c>
      <c r="M105">
        <v>292023628143000</v>
      </c>
      <c r="N105">
        <v>4.0534350000000003</v>
      </c>
      <c r="O105">
        <v>20.286460000000002</v>
      </c>
      <c r="P105" s="25">
        <v>12905.035806451615</v>
      </c>
      <c r="Q105">
        <v>108.6</v>
      </c>
      <c r="R105" s="5">
        <v>1156.0208092231308</v>
      </c>
      <c r="S105" s="8">
        <v>990.7320703554592</v>
      </c>
      <c r="T105" s="9">
        <v>6445210</v>
      </c>
      <c r="U105" s="9">
        <v>22632</v>
      </c>
      <c r="V105" s="9">
        <v>92625</v>
      </c>
      <c r="W105">
        <v>104.4</v>
      </c>
      <c r="X105">
        <v>9732.5077875479074</v>
      </c>
      <c r="Y105">
        <v>110</v>
      </c>
      <c r="Z105">
        <v>41966.002190173262</v>
      </c>
      <c r="AA105" s="11">
        <f t="shared" si="2"/>
        <v>104.77579002694542</v>
      </c>
      <c r="AB105">
        <v>109.8</v>
      </c>
      <c r="AC105">
        <v>109.2</v>
      </c>
      <c r="AD105" s="16">
        <v>27711478.182190932</v>
      </c>
      <c r="AE105">
        <v>113.3</v>
      </c>
      <c r="AF105" s="15">
        <v>61.350144755549152</v>
      </c>
      <c r="AG105">
        <v>74.429795596554186</v>
      </c>
      <c r="AH105">
        <v>35766.780718863571</v>
      </c>
      <c r="AI105" s="11">
        <f t="shared" si="3"/>
        <v>102.91839151495834</v>
      </c>
      <c r="AJ105">
        <v>82276</v>
      </c>
    </row>
    <row r="106" spans="1:36" x14ac:dyDescent="0.25">
      <c r="A106" s="1">
        <v>45809</v>
      </c>
      <c r="B106">
        <v>488532256340000</v>
      </c>
      <c r="C106" s="6">
        <v>106.60761599999999</v>
      </c>
      <c r="D106">
        <v>18063141464.000999</v>
      </c>
      <c r="E106">
        <v>12830263573.816</v>
      </c>
      <c r="F106">
        <v>16886670401</v>
      </c>
      <c r="G106">
        <v>20133200000</v>
      </c>
      <c r="H106">
        <v>43305</v>
      </c>
      <c r="I106">
        <v>100.8</v>
      </c>
      <c r="J106">
        <v>99.45</v>
      </c>
      <c r="K106">
        <v>100.4</v>
      </c>
      <c r="L106">
        <v>55184605833000</v>
      </c>
      <c r="M106">
        <v>300168738446000</v>
      </c>
      <c r="N106">
        <v>3.720672</v>
      </c>
      <c r="O106">
        <v>19.981328000000001</v>
      </c>
      <c r="P106" s="25">
        <v>12675.165666666668</v>
      </c>
      <c r="Q106">
        <v>109</v>
      </c>
      <c r="R106" s="5">
        <v>1290.8255357110006</v>
      </c>
      <c r="S106" s="8">
        <v>983.62785968054641</v>
      </c>
      <c r="T106" s="9">
        <v>6309423</v>
      </c>
      <c r="U106" s="9">
        <v>21014</v>
      </c>
      <c r="V106" s="9">
        <v>91805</v>
      </c>
      <c r="W106">
        <v>104.5</v>
      </c>
      <c r="X106">
        <v>17140.900388689399</v>
      </c>
      <c r="Y106">
        <v>110.7</v>
      </c>
      <c r="Z106">
        <v>44321.202069588631</v>
      </c>
      <c r="AA106" s="11">
        <f t="shared" si="2"/>
        <v>105.69512516296413</v>
      </c>
      <c r="AB106">
        <v>112.4</v>
      </c>
      <c r="AC106">
        <v>109.7</v>
      </c>
      <c r="AD106" s="16">
        <v>28283835.523228567</v>
      </c>
      <c r="AE106">
        <v>113.3</v>
      </c>
      <c r="AF106" s="15">
        <v>63.08523922043041</v>
      </c>
      <c r="AG106">
        <v>79.879875828676418</v>
      </c>
      <c r="AH106">
        <v>38280.942964460541</v>
      </c>
      <c r="AI106" s="11">
        <f t="shared" si="3"/>
        <v>104.66363967091927</v>
      </c>
      <c r="AJ106">
        <v>75436</v>
      </c>
    </row>
    <row r="107" spans="1:36" x14ac:dyDescent="0.25">
      <c r="A107" s="1">
        <v>45839</v>
      </c>
      <c r="B107">
        <v>575601447953000</v>
      </c>
      <c r="C107" s="6">
        <v>106.509029</v>
      </c>
      <c r="D107">
        <v>21778800000</v>
      </c>
      <c r="E107">
        <v>15261900000</v>
      </c>
      <c r="F107">
        <v>20108900000</v>
      </c>
      <c r="G107">
        <v>24292300000</v>
      </c>
      <c r="H107">
        <v>51159</v>
      </c>
      <c r="I107">
        <v>100.92</v>
      </c>
      <c r="J107">
        <v>99.49</v>
      </c>
      <c r="K107">
        <v>100.4</v>
      </c>
      <c r="L107">
        <v>59063671070000</v>
      </c>
      <c r="M107">
        <v>312483995034000</v>
      </c>
      <c r="N107">
        <v>3.8221850000000002</v>
      </c>
      <c r="O107">
        <v>19.838626999999999</v>
      </c>
      <c r="P107" s="25">
        <v>12638.999677419357</v>
      </c>
      <c r="Q107">
        <v>109.3</v>
      </c>
      <c r="R107" s="5">
        <v>1142.9008609317561</v>
      </c>
      <c r="S107" s="8">
        <v>1158.7667915834841</v>
      </c>
      <c r="T107" s="9">
        <v>6501800</v>
      </c>
      <c r="U107" s="9">
        <v>26298</v>
      </c>
      <c r="V107" s="9">
        <v>116835</v>
      </c>
      <c r="W107">
        <v>104.4</v>
      </c>
      <c r="X107">
        <v>12068.61780123413</v>
      </c>
      <c r="Y107">
        <v>110.7</v>
      </c>
      <c r="Z107">
        <v>38565.075942889496</v>
      </c>
      <c r="AA107" s="11">
        <f t="shared" si="2"/>
        <v>104.42073985794271</v>
      </c>
      <c r="AB107">
        <v>112.1</v>
      </c>
      <c r="AC107">
        <v>109.8</v>
      </c>
      <c r="AD107" s="16">
        <v>29848119.767689113</v>
      </c>
      <c r="AE107">
        <v>113.5</v>
      </c>
      <c r="AF107" s="15">
        <v>51.57727342210211</v>
      </c>
      <c r="AG107">
        <v>59.319882127648732</v>
      </c>
      <c r="AH107">
        <v>33053.627320221545</v>
      </c>
      <c r="AI107" s="11">
        <f t="shared" si="3"/>
        <v>105.58757309396927</v>
      </c>
      <c r="AJ107">
        <v>63592</v>
      </c>
    </row>
    <row r="108" spans="1:36" x14ac:dyDescent="0.25">
      <c r="A108" s="1">
        <v>45870</v>
      </c>
      <c r="B108">
        <v>660195431979000</v>
      </c>
      <c r="C108" s="6">
        <v>106.414123</v>
      </c>
      <c r="D108">
        <v>25529300000</v>
      </c>
      <c r="E108">
        <v>17273600000</v>
      </c>
      <c r="F108">
        <v>22981500000</v>
      </c>
      <c r="G108">
        <v>28453700000</v>
      </c>
      <c r="H108">
        <v>58502</v>
      </c>
      <c r="I108">
        <v>100.33</v>
      </c>
      <c r="J108">
        <v>100.48</v>
      </c>
      <c r="K108">
        <v>99.9</v>
      </c>
      <c r="L108">
        <v>59849414814000</v>
      </c>
      <c r="M108">
        <v>315717841198000</v>
      </c>
      <c r="N108">
        <v>3.6624690000000002</v>
      </c>
      <c r="O108">
        <v>20.470217999999999</v>
      </c>
      <c r="P108" s="26">
        <v>12482.38</v>
      </c>
      <c r="Q108">
        <v>109.6</v>
      </c>
      <c r="R108" s="5">
        <v>1309.0596318490511</v>
      </c>
      <c r="S108" s="8">
        <v>1028.6623230602165</v>
      </c>
      <c r="T108" s="9">
        <v>6045115</v>
      </c>
      <c r="U108" s="9">
        <v>25097</v>
      </c>
      <c r="V108" s="9">
        <v>105121</v>
      </c>
      <c r="W108">
        <v>104.3</v>
      </c>
      <c r="X108">
        <v>13161.96850631594</v>
      </c>
      <c r="Y108">
        <v>111.5</v>
      </c>
      <c r="Z108">
        <v>41368.913342567961</v>
      </c>
      <c r="AA108" s="11">
        <f t="shared" si="2"/>
        <v>104.50878444948314</v>
      </c>
      <c r="AB108">
        <v>112.4</v>
      </c>
      <c r="AC108">
        <v>110.2</v>
      </c>
      <c r="AD108" s="16">
        <v>30098104.915566016</v>
      </c>
      <c r="AE108">
        <v>113.7</v>
      </c>
      <c r="AF108" s="15">
        <v>55.361000474766811</v>
      </c>
      <c r="AG108">
        <v>62.124433708800098</v>
      </c>
      <c r="AH108">
        <v>34826.989190017994</v>
      </c>
      <c r="AI108" s="11">
        <f t="shared" si="3"/>
        <v>104.30687120245683</v>
      </c>
      <c r="AJ108">
        <v>48596</v>
      </c>
    </row>
    <row r="109" spans="1:36" x14ac:dyDescent="0.25">
      <c r="A109" s="1">
        <v>45901</v>
      </c>
      <c r="B109">
        <v>773790800000000</v>
      </c>
      <c r="C109" s="5">
        <v>106.8</v>
      </c>
      <c r="D109" s="16">
        <v>29465000000</v>
      </c>
      <c r="E109" s="16">
        <v>19921500000</v>
      </c>
      <c r="F109" s="16">
        <v>26683600000</v>
      </c>
      <c r="G109" s="16">
        <v>33111000000</v>
      </c>
      <c r="H109" s="16">
        <v>66238</v>
      </c>
      <c r="I109">
        <v>100.3</v>
      </c>
      <c r="J109" s="13">
        <v>100.6</v>
      </c>
      <c r="K109" s="12">
        <v>99.6</v>
      </c>
      <c r="L109">
        <v>61747100500000</v>
      </c>
      <c r="M109">
        <v>324355099323000</v>
      </c>
      <c r="N109" s="14">
        <v>3.6518348670790886</v>
      </c>
      <c r="O109" s="23">
        <v>20.207822291666666</v>
      </c>
      <c r="P109" s="25">
        <v>12337.596333333337</v>
      </c>
      <c r="Q109" s="5">
        <v>109.1</v>
      </c>
      <c r="R109" s="10">
        <v>1184.6624608349605</v>
      </c>
      <c r="S109" s="6">
        <v>1161.5263501625152</v>
      </c>
      <c r="T109" s="9">
        <v>6184623</v>
      </c>
      <c r="U109" s="9">
        <v>24195</v>
      </c>
      <c r="V109" s="9">
        <v>101340</v>
      </c>
      <c r="W109">
        <v>104.8</v>
      </c>
      <c r="X109">
        <v>16399.026292480667</v>
      </c>
      <c r="Y109">
        <v>114.2</v>
      </c>
      <c r="Z109">
        <v>53323.086131806056</v>
      </c>
      <c r="AA109" s="11">
        <f>+Z109/Z97*100</f>
        <v>109.10935098056227</v>
      </c>
      <c r="AB109">
        <v>112.6</v>
      </c>
      <c r="AC109" s="18">
        <v>109.30000000000001</v>
      </c>
      <c r="AD109" s="18">
        <v>29919551.139671646</v>
      </c>
      <c r="AE109" s="6">
        <v>114</v>
      </c>
      <c r="AF109" s="15">
        <v>57.160728996454239</v>
      </c>
      <c r="AG109">
        <v>61.97591901277967</v>
      </c>
      <c r="AH109">
        <v>45902.033594493136</v>
      </c>
      <c r="AI109" s="11">
        <f t="shared" si="3"/>
        <v>111.10569847831513</v>
      </c>
      <c r="AJ109">
        <v>40224</v>
      </c>
    </row>
    <row r="110" spans="1:36" x14ac:dyDescent="0.25">
      <c r="A110" s="1">
        <v>45931</v>
      </c>
      <c r="B110" s="16">
        <v>865792400000000</v>
      </c>
      <c r="C110" s="16">
        <v>106.7</v>
      </c>
      <c r="D110" s="16">
        <v>33466699999.999996</v>
      </c>
      <c r="E110" s="16">
        <v>21251800000</v>
      </c>
      <c r="F110" s="16">
        <v>29005900000</v>
      </c>
      <c r="G110" s="16">
        <v>37533400000</v>
      </c>
      <c r="H110" s="16">
        <v>73442</v>
      </c>
      <c r="I110" s="16">
        <v>100.29</v>
      </c>
      <c r="J110" s="16">
        <v>100.625</v>
      </c>
      <c r="K110" s="16">
        <v>100.5</v>
      </c>
      <c r="L110" s="16">
        <v>65036662692000.016</v>
      </c>
      <c r="M110">
        <v>333733587380640.75</v>
      </c>
      <c r="N110" s="14">
        <v>3.7738730943883301</v>
      </c>
      <c r="O110" s="23">
        <v>19.82503569732787</v>
      </c>
      <c r="P110" s="25">
        <v>12098.94129032258</v>
      </c>
      <c r="Q110" s="5">
        <v>109.1</v>
      </c>
      <c r="R110" s="6">
        <v>1341.7346797436005</v>
      </c>
      <c r="S110" s="6">
        <v>1319.1971300799962</v>
      </c>
      <c r="T110" s="9">
        <v>6571429</v>
      </c>
      <c r="U110" s="9">
        <v>27096</v>
      </c>
      <c r="V110" s="9">
        <v>112505</v>
      </c>
      <c r="W110" s="16">
        <v>104.7</v>
      </c>
      <c r="X110">
        <v>11860.472094465051</v>
      </c>
      <c r="Y110" s="16">
        <v>114.7</v>
      </c>
      <c r="Z110">
        <v>48056.169600216461</v>
      </c>
      <c r="AA110" s="11">
        <f t="shared" ref="AA110:AA112" si="4">+Z110/Z98*100</f>
        <v>106.65560057176988</v>
      </c>
      <c r="AB110" s="16">
        <v>112.2</v>
      </c>
      <c r="AC110" s="16">
        <v>111</v>
      </c>
      <c r="AD110" s="16">
        <v>37364160.893473469</v>
      </c>
      <c r="AE110" s="16">
        <v>114.4</v>
      </c>
      <c r="AF110" s="22">
        <v>55.947618950882955</v>
      </c>
      <c r="AG110" s="22">
        <v>56.436144937141158</v>
      </c>
      <c r="AH110" s="21">
        <v>40694.764002433658</v>
      </c>
      <c r="AI110" s="11">
        <f t="shared" si="3"/>
        <v>107.35653085493489</v>
      </c>
      <c r="AJ110">
        <v>62418</v>
      </c>
    </row>
    <row r="111" spans="1:36" x14ac:dyDescent="0.25">
      <c r="A111" s="1">
        <v>45962</v>
      </c>
      <c r="B111" s="16">
        <v>963346000000000</v>
      </c>
      <c r="C111" s="16">
        <v>106.8</v>
      </c>
      <c r="D111" s="16">
        <v>37419700000</v>
      </c>
      <c r="E111" s="16">
        <v>22416600000</v>
      </c>
      <c r="F111" s="16">
        <v>30894800000</v>
      </c>
      <c r="G111" s="16">
        <v>41885400000</v>
      </c>
      <c r="H111" s="16">
        <v>80537</v>
      </c>
      <c r="I111" s="16">
        <v>100.33</v>
      </c>
      <c r="J111" s="16">
        <v>100.72499999999999</v>
      </c>
      <c r="K111" s="16">
        <v>100.5</v>
      </c>
      <c r="L111" s="16">
        <v>67137410596000</v>
      </c>
      <c r="M111" s="16">
        <v>344652657307270.38</v>
      </c>
      <c r="N111" s="14">
        <v>3.4512183515335799</v>
      </c>
      <c r="O111" s="23">
        <v>19.478025250167338</v>
      </c>
      <c r="P111" s="25">
        <v>11971.369000000001</v>
      </c>
      <c r="Q111" s="5">
        <v>109.1</v>
      </c>
      <c r="R111" s="6">
        <v>1111.351827002057</v>
      </c>
      <c r="S111" s="6">
        <v>991.30818802321494</v>
      </c>
      <c r="T111" s="9">
        <v>5977552</v>
      </c>
      <c r="U111" s="9">
        <v>24846</v>
      </c>
      <c r="V111" s="9">
        <v>101139</v>
      </c>
      <c r="W111" s="16">
        <v>104.7</v>
      </c>
      <c r="X111">
        <v>12891.199755777508</v>
      </c>
      <c r="Y111" s="6">
        <v>114.5948261074569</v>
      </c>
      <c r="Z111">
        <v>48377.57106178</v>
      </c>
      <c r="AA111" s="11">
        <f t="shared" si="4"/>
        <v>108.92226502925242</v>
      </c>
      <c r="AB111" s="16">
        <v>112.8</v>
      </c>
      <c r="AC111" s="16">
        <v>110.3</v>
      </c>
      <c r="AD111" s="16">
        <v>36300199.182342216</v>
      </c>
      <c r="AE111" s="16">
        <v>114.6</v>
      </c>
      <c r="AF111" s="22">
        <v>52.250783094780189</v>
      </c>
      <c r="AG111" s="22">
        <v>54.355133941084716</v>
      </c>
      <c r="AH111" s="21">
        <v>39949.437991811508</v>
      </c>
      <c r="AI111" s="11">
        <f t="shared" si="3"/>
        <v>106.71283929524171</v>
      </c>
      <c r="AJ111">
        <v>38724</v>
      </c>
    </row>
    <row r="112" spans="1:36" x14ac:dyDescent="0.25">
      <c r="A112" s="1">
        <v>45992</v>
      </c>
      <c r="B112" s="16">
        <v>1101130800000000</v>
      </c>
      <c r="C112" s="16">
        <v>106.8</v>
      </c>
      <c r="D112" s="16">
        <v>42565400000</v>
      </c>
      <c r="E112" s="16">
        <v>27559800000</v>
      </c>
      <c r="F112" s="16">
        <v>33812300000.000004</v>
      </c>
      <c r="G112" s="16">
        <v>47354500000</v>
      </c>
      <c r="H112" s="16">
        <v>87775</v>
      </c>
      <c r="I112" s="16">
        <v>100.7</v>
      </c>
      <c r="J112" s="16">
        <v>100.9</v>
      </c>
      <c r="K112" s="16">
        <v>99.8</v>
      </c>
      <c r="L112" s="16">
        <v>65172148716000</v>
      </c>
      <c r="M112" s="16">
        <v>351727147585211.13</v>
      </c>
      <c r="N112" s="14">
        <v>2.9892844508846399</v>
      </c>
      <c r="O112" s="23">
        <v>19.358171021704329</v>
      </c>
      <c r="P112" s="25">
        <v>12018.299032258063</v>
      </c>
      <c r="Q112" s="5">
        <v>109.4</v>
      </c>
      <c r="R112" s="6">
        <v>1221.9992740512844</v>
      </c>
      <c r="S112" s="6">
        <v>1066.5792829240229</v>
      </c>
      <c r="T112" s="9">
        <v>7053163</v>
      </c>
      <c r="U112" s="9">
        <v>31264</v>
      </c>
      <c r="V112" s="9">
        <v>104220</v>
      </c>
      <c r="W112" s="16">
        <v>104.8</v>
      </c>
      <c r="X112">
        <v>15489.084672564366</v>
      </c>
      <c r="Y112" s="16">
        <v>114.2</v>
      </c>
      <c r="Z112">
        <v>65983.742407077676</v>
      </c>
      <c r="AA112" s="11">
        <f t="shared" si="4"/>
        <v>108.37713638472928</v>
      </c>
      <c r="AB112" s="16">
        <v>112.5</v>
      </c>
      <c r="AC112" s="16">
        <v>111</v>
      </c>
      <c r="AD112" s="16">
        <v>54555061.083687216</v>
      </c>
      <c r="AE112" s="16">
        <v>114.7</v>
      </c>
      <c r="AF112" s="22">
        <v>57.529384114114571</v>
      </c>
      <c r="AG112" s="22">
        <v>64.765811562336467</v>
      </c>
      <c r="AH112" s="21">
        <v>58370.642897386184</v>
      </c>
      <c r="AI112" s="11">
        <f t="shared" si="3"/>
        <v>112.8186002167959</v>
      </c>
      <c r="AJ112">
        <v>50971</v>
      </c>
    </row>
    <row r="113" spans="1:9" x14ac:dyDescent="0.25">
      <c r="A113" s="1"/>
      <c r="D113" s="20"/>
      <c r="E113" s="20"/>
      <c r="F113" s="16"/>
      <c r="G113" s="16"/>
    </row>
    <row r="114" spans="1:9" x14ac:dyDescent="0.25">
      <c r="A114" s="1"/>
      <c r="D114" s="20"/>
      <c r="E114" s="16"/>
      <c r="F114" s="16"/>
      <c r="G114" s="16"/>
      <c r="I114" s="16"/>
    </row>
    <row r="115" spans="1:9" x14ac:dyDescent="0.25">
      <c r="A115" s="1"/>
      <c r="B115" s="16"/>
      <c r="D115" s="20"/>
      <c r="E115" s="16"/>
      <c r="I115" s="16"/>
    </row>
    <row r="116" spans="1:9" x14ac:dyDescent="0.25">
      <c r="A116" s="1"/>
      <c r="B116" s="16"/>
      <c r="D116" s="20"/>
      <c r="I116" s="16"/>
    </row>
    <row r="117" spans="1:9" x14ac:dyDescent="0.25">
      <c r="A117" s="1"/>
    </row>
    <row r="118" spans="1:9" x14ac:dyDescent="0.25">
      <c r="A118" s="1"/>
    </row>
    <row r="119" spans="1:9" x14ac:dyDescent="0.25">
      <c r="A119" s="1"/>
    </row>
    <row r="120" spans="1:9" x14ac:dyDescent="0.25">
      <c r="A120" s="1"/>
    </row>
    <row r="121" spans="1:9" x14ac:dyDescent="0.25">
      <c r="A121" s="1"/>
    </row>
    <row r="122" spans="1:9" x14ac:dyDescent="0.25">
      <c r="A122" s="1"/>
    </row>
    <row r="123" spans="1:9" x14ac:dyDescent="0.25">
      <c r="A123" s="1"/>
    </row>
    <row r="124" spans="1:9" x14ac:dyDescent="0.25">
      <c r="A124" s="1"/>
    </row>
    <row r="125" spans="1:9" x14ac:dyDescent="0.25">
      <c r="A125" s="1"/>
    </row>
    <row r="126" spans="1:9" x14ac:dyDescent="0.25">
      <c r="A126" s="1"/>
    </row>
    <row r="127" spans="1:9" x14ac:dyDescent="0.25">
      <c r="A127" s="1"/>
    </row>
    <row r="128" spans="1:9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</sheetData>
  <pageMargins left="0.7" right="0.7" top="0.78740157499999996" bottom="0.78740157499999996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Mbnd.EmbeddedDataStore" shapeId="2049" r:id="rId4">
          <object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1419225</xdr:colOff>
                <xdr:row>2</xdr:row>
                <xdr:rowOff>152400</xdr:rowOff>
              </to>
            </anchor>
          </objectPr>
        </oleObject>
      </mc:Choice>
      <mc:Fallback>
        <oleObject progId="Mbnd.EmbeddedDataStore" shapeId="2049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Series Information</vt:lpstr>
      <vt:lpstr>Request Quarterly</vt:lpstr>
      <vt:lpstr>Request Monthly</vt:lpstr>
      <vt:lpstr>'Request Monthly'!Macrobond_Object1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Mikosch Heiner</dc:creator>
  <cp:lastModifiedBy>Jamshid Axmatov</cp:lastModifiedBy>
  <dcterms:created xsi:type="dcterms:W3CDTF">2025-10-02T08:13:20Z</dcterms:created>
  <dcterms:modified xsi:type="dcterms:W3CDTF">2026-01-26T16:40:38Z</dcterms:modified>
</cp:coreProperties>
</file>